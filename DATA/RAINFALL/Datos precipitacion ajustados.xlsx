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SEGUIMIENTO ESTUDIANTES\PAE\Emanuel Castillo\"/>
    </mc:Choice>
  </mc:AlternateContent>
  <xr:revisionPtr revIDLastSave="0" documentId="13_ncr:1_{BE3C3CF1-E8BC-4AB0-BC35-C4EFAD8A6053}" xr6:coauthVersionLast="41" xr6:coauthVersionMax="41" xr10:uidLastSave="{00000000-0000-0000-0000-000000000000}"/>
  <bookViews>
    <workbookView xWindow="-98" yWindow="-98" windowWidth="19396" windowHeight="1174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5" i="1" l="1"/>
  <c r="AE19" i="1" s="1"/>
  <c r="AD15" i="1"/>
  <c r="AD19" i="1" s="1"/>
  <c r="AC15" i="1"/>
  <c r="AC19" i="1" s="1"/>
  <c r="AB15" i="1"/>
  <c r="AB19" i="1" s="1"/>
  <c r="AA15" i="1"/>
  <c r="AA19" i="1" s="1"/>
  <c r="Z15" i="1"/>
  <c r="Z19" i="1" s="1"/>
  <c r="Y15" i="1"/>
  <c r="Y19" i="1" s="1"/>
  <c r="X15" i="1"/>
  <c r="W19" i="1"/>
  <c r="W15" i="1"/>
  <c r="V15" i="1"/>
  <c r="V19" i="1" s="1"/>
  <c r="U19" i="1"/>
  <c r="U15" i="1"/>
  <c r="T15" i="1"/>
  <c r="T19" i="1" s="1"/>
  <c r="S19" i="1"/>
  <c r="S15" i="1"/>
  <c r="R15" i="1"/>
  <c r="R19" i="1" s="1"/>
  <c r="Q19" i="1"/>
  <c r="Q15" i="1"/>
  <c r="P15" i="1"/>
  <c r="P19" i="1" s="1"/>
  <c r="O19" i="1"/>
  <c r="O15" i="1"/>
  <c r="N15" i="1"/>
  <c r="N19" i="1" s="1"/>
  <c r="M19" i="1"/>
  <c r="M15" i="1"/>
  <c r="L15" i="1"/>
  <c r="L19" i="1" s="1"/>
  <c r="I15" i="1"/>
  <c r="I19" i="1" s="1"/>
  <c r="K15" i="1" l="1"/>
  <c r="K19" i="1" s="1"/>
  <c r="J19" i="1"/>
  <c r="J15" i="1"/>
  <c r="H15" i="1" l="1"/>
  <c r="H19" i="1" s="1"/>
  <c r="G19" i="1"/>
  <c r="G15" i="1"/>
  <c r="D19" i="1" l="1"/>
  <c r="F15" i="1"/>
  <c r="F19" i="1" s="1"/>
  <c r="E15" i="1"/>
  <c r="E19" i="1" s="1"/>
  <c r="D15" i="1"/>
  <c r="C15" i="1"/>
  <c r="C19" i="1" s="1"/>
  <c r="B15" i="1"/>
  <c r="B19" i="1" s="1"/>
</calcChain>
</file>

<file path=xl/sharedStrings.xml><?xml version="1.0" encoding="utf-8"?>
<sst xmlns="http://schemas.openxmlformats.org/spreadsheetml/2006/main" count="57" uniqueCount="57">
  <si>
    <t>Resumen datos</t>
  </si>
  <si>
    <t>Cuenca</t>
  </si>
  <si>
    <t>1-Rio San Carlos</t>
  </si>
  <si>
    <t>2-Quebrada Llanadas</t>
  </si>
  <si>
    <t>3-Quebrada El Trigal</t>
  </si>
  <si>
    <t>4-Quebrada El Trique</t>
  </si>
  <si>
    <t>5-Quebrada Potreros</t>
  </si>
  <si>
    <t>6-Quebrada Negra y Piña</t>
  </si>
  <si>
    <t>7-Quebrada La Hondita</t>
  </si>
  <si>
    <t>8-Quebrada Negra y Piña</t>
  </si>
  <si>
    <t>9-Rio Melcocho</t>
  </si>
  <si>
    <t>10-Rio Dormilon</t>
  </si>
  <si>
    <t>11-Quebrada La Presidenta</t>
  </si>
  <si>
    <t>12-Quebrada La Garcia</t>
  </si>
  <si>
    <t>13-Quebrada La Raya</t>
  </si>
  <si>
    <t>14-Quebrada El Barro</t>
  </si>
  <si>
    <t>15-Quebrada Los Aguacates</t>
  </si>
  <si>
    <t>16-Quebrada El Chuscal y Potrerito</t>
  </si>
  <si>
    <t>17-Quebrada La limona</t>
  </si>
  <si>
    <t>18-Quebrada La Arrocera</t>
  </si>
  <si>
    <t>19-Quebrada La Tirana</t>
  </si>
  <si>
    <t>20-Quebrada Don matias</t>
  </si>
  <si>
    <t xml:space="preserve">21-Quebrada La Arrocera </t>
  </si>
  <si>
    <t>22-Quebrada Santa Lucia</t>
  </si>
  <si>
    <t>23-Quebrada Yarumalito</t>
  </si>
  <si>
    <t>24-Quebrada La montera</t>
  </si>
  <si>
    <t>25-Rio San Antonio</t>
  </si>
  <si>
    <t xml:space="preserve">26-Quebrada Los Monos </t>
  </si>
  <si>
    <t>27-Quebrada La Manga</t>
  </si>
  <si>
    <t>28-Quebrada San Agustin</t>
  </si>
  <si>
    <t>29-Quebrada La Liborina</t>
  </si>
  <si>
    <t xml:space="preserve">30-Quebrada Los Monos </t>
  </si>
  <si>
    <t xml:space="preserve">Dia del evento </t>
  </si>
  <si>
    <t>(21/09/1990)</t>
  </si>
  <si>
    <t>(13/05/1995)</t>
  </si>
  <si>
    <t>(24/06/2010)</t>
  </si>
  <si>
    <t xml:space="preserve">08/06/2005
</t>
  </si>
  <si>
    <t xml:space="preserve"> 
06/10/2005</t>
  </si>
  <si>
    <t xml:space="preserve">2018-02-17
</t>
  </si>
  <si>
    <t>24/04/2002; 09/05/2002</t>
  </si>
  <si>
    <t>Dia 1 -Total precipitacion (m^3)</t>
  </si>
  <si>
    <t>Area (m^2)</t>
  </si>
  <si>
    <t>1750000 </t>
  </si>
  <si>
    <t>Normalizacion (mm)</t>
  </si>
  <si>
    <t>Dia 2 -Total precipitacion (m^3)</t>
  </si>
  <si>
    <t>Dia 3 -Total precipitacion  (m^3)</t>
  </si>
  <si>
    <t>Dia 4 -Total precipitacion  (m^3)</t>
  </si>
  <si>
    <t>Dia 5 -Total precipitacion  (m^3)</t>
  </si>
  <si>
    <t>Dia 6 -Total precipitacion (m^3)</t>
  </si>
  <si>
    <t>Dia 7 -Total precipitacion  (m^3)</t>
  </si>
  <si>
    <t>Dia 8 -Total precipitacion  (m^3)</t>
  </si>
  <si>
    <t>Dia 9 -Total precipitacion  (m^3)</t>
  </si>
  <si>
    <t>Dia 10 -Total precipitacion  (m^3)</t>
  </si>
  <si>
    <t>Dia 11 -Total precipitacion  (m^3)</t>
  </si>
  <si>
    <t>Sumatoria de precipitacion Dia 2 a Dia 11</t>
  </si>
  <si>
    <t>Dia de mayor precipitacion antes del evento (m^3)</t>
  </si>
  <si>
    <t>mayor precipitacion antes del evento (m^3)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</si>
</sst>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14" fontId="0" fillId="4" borderId="4" xfId="0" applyNumberFormat="1" applyFont="1" applyFill="1" applyBorder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4" borderId="3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Hoja1!$B$19:$AE$19</c:f>
              <c:numCache>
                <c:formatCode>General</c:formatCode>
                <c:ptCount val="30"/>
                <c:pt idx="0">
                  <c:v>132.87691748154694</c:v>
                </c:pt>
                <c:pt idx="1">
                  <c:v>112.68445690780143</c:v>
                </c:pt>
                <c:pt idx="2">
                  <c:v>122.5621194666667</c:v>
                </c:pt>
                <c:pt idx="3">
                  <c:v>257.60408048140636</c:v>
                </c:pt>
                <c:pt idx="4">
                  <c:v>49.712332968944089</c:v>
                </c:pt>
                <c:pt idx="5">
                  <c:v>32.266626210606056</c:v>
                </c:pt>
                <c:pt idx="6">
                  <c:v>119.08812607228914</c:v>
                </c:pt>
                <c:pt idx="7">
                  <c:v>90.733962859090909</c:v>
                </c:pt>
                <c:pt idx="8">
                  <c:v>193.2871487821418</c:v>
                </c:pt>
                <c:pt idx="9">
                  <c:v>91.182789812350876</c:v>
                </c:pt>
                <c:pt idx="10">
                  <c:v>98.918477631116687</c:v>
                </c:pt>
                <c:pt idx="11">
                  <c:v>93.201542650467289</c:v>
                </c:pt>
                <c:pt idx="12">
                  <c:v>100.32804733584905</c:v>
                </c:pt>
                <c:pt idx="13">
                  <c:v>86.914779975289576</c:v>
                </c:pt>
                <c:pt idx="14">
                  <c:v>44.557990999641788</c:v>
                </c:pt>
                <c:pt idx="15">
                  <c:v>45.514223169075635</c:v>
                </c:pt>
                <c:pt idx="16">
                  <c:v>1.2088888605405408</c:v>
                </c:pt>
                <c:pt idx="17">
                  <c:v>236.02771396923075</c:v>
                </c:pt>
                <c:pt idx="18">
                  <c:v>139.4446722382979</c:v>
                </c:pt>
                <c:pt idx="19">
                  <c:v>127.32590068722469</c:v>
                </c:pt>
                <c:pt idx="20">
                  <c:v>210.81172824615385</c:v>
                </c:pt>
                <c:pt idx="21">
                  <c:v>112.03612599322034</c:v>
                </c:pt>
                <c:pt idx="22">
                  <c:v>121.90345000000001</c:v>
                </c:pt>
                <c:pt idx="23">
                  <c:v>201.52785423728812</c:v>
                </c:pt>
                <c:pt idx="24">
                  <c:v>67.482531011538455</c:v>
                </c:pt>
                <c:pt idx="25">
                  <c:v>118.71354113920002</c:v>
                </c:pt>
                <c:pt idx="26">
                  <c:v>84.668565061224484</c:v>
                </c:pt>
                <c:pt idx="27">
                  <c:v>92.094014887878785</c:v>
                </c:pt>
                <c:pt idx="28">
                  <c:v>91.421548561403498</c:v>
                </c:pt>
                <c:pt idx="29">
                  <c:v>87.094987404799994</c:v>
                </c:pt>
              </c:numCache>
            </c:numRef>
          </c:xVal>
          <c:yVal>
            <c:numRef>
              <c:f>Hoja1!$B$4:$AE$4</c:f>
              <c:numCache>
                <c:formatCode>General</c:formatCode>
                <c:ptCount val="30"/>
                <c:pt idx="0" formatCode="#,##0">
                  <c:v>1421438.2415999998</c:v>
                </c:pt>
                <c:pt idx="1">
                  <c:v>75605.391520000005</c:v>
                </c:pt>
                <c:pt idx="2">
                  <c:v>49576.140319999999</c:v>
                </c:pt>
                <c:pt idx="3">
                  <c:v>95529.979559999992</c:v>
                </c:pt>
                <c:pt idx="4">
                  <c:v>69763.957664000001</c:v>
                </c:pt>
                <c:pt idx="5">
                  <c:v>0</c:v>
                </c:pt>
                <c:pt idx="6">
                  <c:v>25213.132159999997</c:v>
                </c:pt>
                <c:pt idx="7">
                  <c:v>32811.695039999999</c:v>
                </c:pt>
                <c:pt idx="8">
                  <c:v>65586.29376</c:v>
                </c:pt>
                <c:pt idx="9">
                  <c:v>646032.87650399993</c:v>
                </c:pt>
                <c:pt idx="10">
                  <c:v>69943.56568</c:v>
                </c:pt>
                <c:pt idx="11">
                  <c:v>89035.805040000007</c:v>
                </c:pt>
                <c:pt idx="12">
                  <c:v>5742.5103359999994</c:v>
                </c:pt>
                <c:pt idx="13">
                  <c:v>0</c:v>
                </c:pt>
                <c:pt idx="14">
                  <c:v>120385.0704048</c:v>
                </c:pt>
                <c:pt idx="15">
                  <c:v>43258.637024000003</c:v>
                </c:pt>
                <c:pt idx="16">
                  <c:v>8453.8803647999994</c:v>
                </c:pt>
                <c:pt idx="17">
                  <c:v>0</c:v>
                </c:pt>
                <c:pt idx="18">
                  <c:v>55263.933584000006</c:v>
                </c:pt>
                <c:pt idx="19">
                  <c:v>114136.10256</c:v>
                </c:pt>
                <c:pt idx="20">
                  <c:v>0</c:v>
                </c:pt>
                <c:pt idx="21">
                  <c:v>0</c:v>
                </c:pt>
                <c:pt idx="22">
                  <c:v>36562.132991999999</c:v>
                </c:pt>
                <c:pt idx="23">
                  <c:v>118797.10059999999</c:v>
                </c:pt>
                <c:pt idx="24">
                  <c:v>234447.19672000001</c:v>
                </c:pt>
                <c:pt idx="25">
                  <c:v>38351.412160000007</c:v>
                </c:pt>
                <c:pt idx="26">
                  <c:v>0</c:v>
                </c:pt>
                <c:pt idx="27">
                  <c:v>0</c:v>
                </c:pt>
                <c:pt idx="28">
                  <c:v>472857.51695999992</c:v>
                </c:pt>
                <c:pt idx="29">
                  <c:v>47359.635199999997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CE-4ED5-99B8-F846E53AA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67936"/>
        <c:axId val="122025472"/>
      </c:scatterChart>
      <c:valAx>
        <c:axId val="121367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Precipitacion/area (mm/m2)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025472"/>
        <c:crosses val="autoZero"/>
        <c:crossBetween val="midCat"/>
      </c:valAx>
      <c:valAx>
        <c:axId val="122025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Precipitacion 1D (m3)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21367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2895599</xdr:colOff>
      <xdr:row>21</xdr:row>
      <xdr:rowOff>9525</xdr:rowOff>
    </xdr:from>
    <xdr:to>
      <xdr:col>5</xdr:col>
      <xdr:colOff>1352550</xdr:colOff>
      <xdr:row>50</xdr:row>
      <xdr:rowOff>19050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tabSelected="1" topLeftCell="X1" zoomScale="80" zoomScaleNormal="80" workbookViewId="0">
      <selection activeCell="AE18" sqref="AE18"/>
    </sheetView>
  </sheetViews>
  <sheetFormatPr defaultColWidth="10.6640625" defaultRowHeight="14.25" x14ac:dyDescent="0.45"/>
  <cols>
    <col min="1" max="1" width="55.86328125" customWidth="1"/>
    <col min="2" max="2" width="27.1328125" customWidth="1"/>
    <col min="3" max="3" width="24.265625" customWidth="1"/>
    <col min="4" max="4" width="20.59765625" customWidth="1"/>
    <col min="5" max="5" width="22.73046875" customWidth="1"/>
    <col min="6" max="6" width="23.3984375" customWidth="1"/>
    <col min="7" max="7" width="23.73046875" customWidth="1"/>
    <col min="8" max="8" width="24.86328125" customWidth="1"/>
    <col min="9" max="9" width="25.59765625" customWidth="1"/>
    <col min="10" max="10" width="24.86328125" customWidth="1"/>
    <col min="11" max="11" width="23.73046875" customWidth="1"/>
    <col min="12" max="12" width="26.73046875" customWidth="1"/>
    <col min="13" max="13" width="24.86328125" customWidth="1"/>
    <col min="14" max="14" width="22.73046875" customWidth="1"/>
    <col min="15" max="15" width="24.265625" customWidth="1"/>
    <col min="16" max="16" width="24.86328125" customWidth="1"/>
    <col min="17" max="17" width="25.265625" customWidth="1"/>
    <col min="18" max="18" width="23.265625" customWidth="1"/>
    <col min="19" max="19" width="23.3984375" customWidth="1"/>
    <col min="20" max="20" width="23.59765625" customWidth="1"/>
    <col min="21" max="21" width="24.59765625" customWidth="1"/>
    <col min="22" max="22" width="26.1328125" customWidth="1"/>
    <col min="23" max="23" width="23.86328125" customWidth="1"/>
    <col min="24" max="24" width="24.73046875" customWidth="1"/>
    <col min="25" max="25" width="23.3984375" customWidth="1"/>
    <col min="26" max="26" width="23.1328125" customWidth="1"/>
    <col min="27" max="27" width="23" customWidth="1"/>
    <col min="28" max="28" width="23.59765625" customWidth="1"/>
    <col min="29" max="29" width="23.73046875" customWidth="1"/>
    <col min="30" max="30" width="23.1328125" customWidth="1"/>
    <col min="31" max="31" width="25.73046875" customWidth="1"/>
  </cols>
  <sheetData>
    <row r="1" spans="1:31" x14ac:dyDescent="0.45">
      <c r="A1" s="12" t="s">
        <v>0</v>
      </c>
      <c r="B1" s="8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8.5" x14ac:dyDescent="0.45">
      <c r="A2" s="3" t="s">
        <v>1</v>
      </c>
      <c r="B2" s="13" t="s">
        <v>2</v>
      </c>
      <c r="C2" s="14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5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5" t="s">
        <v>21</v>
      </c>
      <c r="V2" s="16" t="s">
        <v>22</v>
      </c>
      <c r="W2" s="16" t="s">
        <v>23</v>
      </c>
      <c r="X2" s="16" t="s">
        <v>24</v>
      </c>
      <c r="Y2" s="16" t="s">
        <v>25</v>
      </c>
      <c r="Z2" s="16" t="s">
        <v>26</v>
      </c>
      <c r="AA2" s="16" t="s">
        <v>27</v>
      </c>
      <c r="AB2" s="16" t="s">
        <v>28</v>
      </c>
      <c r="AC2" s="16" t="s">
        <v>29</v>
      </c>
      <c r="AD2" s="16" t="s">
        <v>30</v>
      </c>
      <c r="AE2" s="16" t="s">
        <v>31</v>
      </c>
    </row>
    <row r="3" spans="1:31" ht="28.5" x14ac:dyDescent="0.45">
      <c r="A3" s="3" t="s">
        <v>32</v>
      </c>
      <c r="B3" s="11" t="s">
        <v>33</v>
      </c>
      <c r="C3" s="10" t="s">
        <v>34</v>
      </c>
      <c r="D3" s="11" t="s">
        <v>35</v>
      </c>
      <c r="E3" s="18">
        <v>40420</v>
      </c>
      <c r="F3" s="18">
        <v>41351</v>
      </c>
      <c r="G3" s="18">
        <v>43146</v>
      </c>
      <c r="H3" s="19">
        <v>43223</v>
      </c>
      <c r="I3" s="20">
        <v>43227</v>
      </c>
      <c r="J3" s="21">
        <v>43358</v>
      </c>
      <c r="K3" s="17">
        <v>43573</v>
      </c>
      <c r="L3" s="22">
        <v>37418</v>
      </c>
      <c r="M3" s="22">
        <v>37417</v>
      </c>
      <c r="N3" s="23" t="s">
        <v>36</v>
      </c>
      <c r="O3" s="23" t="s">
        <v>37</v>
      </c>
      <c r="P3" s="17">
        <v>39671</v>
      </c>
      <c r="Q3" s="17">
        <v>40755</v>
      </c>
      <c r="R3" s="23" t="s">
        <v>38</v>
      </c>
      <c r="S3" s="17">
        <v>34902</v>
      </c>
      <c r="T3" s="17">
        <v>35278</v>
      </c>
      <c r="U3" s="22">
        <v>35302</v>
      </c>
      <c r="V3" s="17">
        <v>36044</v>
      </c>
      <c r="W3" s="17" t="s">
        <v>39</v>
      </c>
      <c r="X3" s="17">
        <v>42894</v>
      </c>
      <c r="Y3" s="17">
        <v>43254</v>
      </c>
      <c r="Z3" s="17">
        <v>35329</v>
      </c>
      <c r="AA3" s="17">
        <v>35955</v>
      </c>
      <c r="AB3" s="17">
        <v>38804</v>
      </c>
      <c r="AC3" s="17">
        <v>42104</v>
      </c>
      <c r="AD3" s="17">
        <v>42142</v>
      </c>
      <c r="AE3" s="17">
        <v>43363</v>
      </c>
    </row>
    <row r="4" spans="1:31" x14ac:dyDescent="0.45">
      <c r="A4" s="10" t="s">
        <v>40</v>
      </c>
      <c r="B4" s="5">
        <v>1421438.2415999998</v>
      </c>
      <c r="C4" s="6">
        <v>75605.391520000005</v>
      </c>
      <c r="D4" s="2">
        <v>49576.140319999999</v>
      </c>
      <c r="E4" s="2">
        <v>95529.979559999992</v>
      </c>
      <c r="F4" s="2">
        <v>69763.957664000001</v>
      </c>
      <c r="G4" s="2">
        <v>0</v>
      </c>
      <c r="H4" s="2">
        <v>25213.132159999997</v>
      </c>
      <c r="I4" s="2">
        <v>32811.695039999999</v>
      </c>
      <c r="J4" s="2">
        <v>65586.29376</v>
      </c>
      <c r="K4" s="2">
        <v>646032.87650399993</v>
      </c>
      <c r="L4" s="2">
        <v>69943.56568</v>
      </c>
      <c r="M4" s="2">
        <v>89035.805040000007</v>
      </c>
      <c r="N4" s="2">
        <v>5742.5103359999994</v>
      </c>
      <c r="O4" s="2">
        <v>0</v>
      </c>
      <c r="P4" s="2">
        <v>120385.0704048</v>
      </c>
      <c r="Q4" s="2">
        <v>43258.637024000003</v>
      </c>
      <c r="R4" s="2">
        <v>8453.8803647999994</v>
      </c>
      <c r="S4" s="2">
        <v>0</v>
      </c>
      <c r="T4" s="2">
        <v>55263.933584000006</v>
      </c>
      <c r="U4" s="2">
        <v>114136.10256</v>
      </c>
      <c r="V4" s="2">
        <v>0</v>
      </c>
      <c r="W4" s="2">
        <v>0</v>
      </c>
      <c r="X4" s="2">
        <v>36562.132991999999</v>
      </c>
      <c r="Y4" s="2">
        <v>118797.10059999999</v>
      </c>
      <c r="Z4" s="2">
        <v>234447.19672000001</v>
      </c>
      <c r="AA4" s="2">
        <v>38351.412160000007</v>
      </c>
      <c r="AB4" s="2">
        <v>0</v>
      </c>
      <c r="AC4" s="2">
        <v>0</v>
      </c>
      <c r="AD4" s="2">
        <v>472857.51695999992</v>
      </c>
      <c r="AE4" s="2">
        <v>47359.635199999997</v>
      </c>
    </row>
    <row r="5" spans="1:31" x14ac:dyDescent="0.45">
      <c r="A5" s="10" t="s">
        <v>44</v>
      </c>
      <c r="B5" s="4">
        <v>550241.98615999997</v>
      </c>
      <c r="C5" s="2">
        <v>75605.391520000005</v>
      </c>
      <c r="D5" s="2">
        <v>0</v>
      </c>
      <c r="E5" s="2">
        <v>382370.70482000004</v>
      </c>
      <c r="F5" s="2">
        <v>17432.797311999999</v>
      </c>
      <c r="G5" s="2">
        <v>0</v>
      </c>
      <c r="H5" s="2">
        <v>31389.669439999998</v>
      </c>
      <c r="I5" s="2">
        <v>0</v>
      </c>
      <c r="J5" s="2">
        <v>2060817.4294080001</v>
      </c>
      <c r="K5" s="2">
        <v>1550692.7948079999</v>
      </c>
      <c r="L5" s="2">
        <v>0</v>
      </c>
      <c r="M5" s="2">
        <v>223298.97971999997</v>
      </c>
      <c r="N5" s="2">
        <v>7656.6804479999992</v>
      </c>
      <c r="O5" s="2">
        <v>0</v>
      </c>
      <c r="P5" s="2">
        <v>94405.713755200006</v>
      </c>
      <c r="Q5" s="2">
        <v>49486.490880000005</v>
      </c>
      <c r="R5" s="2">
        <v>0</v>
      </c>
      <c r="S5" s="2">
        <v>99119.512224000006</v>
      </c>
      <c r="T5" s="2">
        <v>47749.764832000001</v>
      </c>
      <c r="U5" s="2">
        <v>97461.306719999993</v>
      </c>
      <c r="V5" s="2">
        <v>67248.827168000003</v>
      </c>
      <c r="W5" s="2">
        <v>109747.91704000001</v>
      </c>
      <c r="X5" s="2">
        <v>33948.078976000004</v>
      </c>
      <c r="Y5" s="2">
        <v>118797.10059999999</v>
      </c>
      <c r="Z5" s="2">
        <v>658393.21575999993</v>
      </c>
      <c r="AA5" s="2">
        <v>26140.54016</v>
      </c>
      <c r="AB5" s="2">
        <v>10858.401999999998</v>
      </c>
      <c r="AC5" s="2">
        <v>0</v>
      </c>
      <c r="AD5" s="2">
        <v>1017351.1191999998</v>
      </c>
      <c r="AE5" s="2">
        <v>94743.228440000021</v>
      </c>
    </row>
    <row r="6" spans="1:31" x14ac:dyDescent="0.45">
      <c r="A6" s="10" t="s">
        <v>45</v>
      </c>
      <c r="B6" s="4">
        <v>968764.21407999995</v>
      </c>
      <c r="C6" s="2">
        <v>0</v>
      </c>
      <c r="D6" s="2">
        <v>16510.95376</v>
      </c>
      <c r="E6" s="2">
        <v>202711.48817</v>
      </c>
      <c r="F6" s="2">
        <v>0</v>
      </c>
      <c r="G6" s="2">
        <v>0</v>
      </c>
      <c r="H6" s="2">
        <v>8389.9510399999999</v>
      </c>
      <c r="I6" s="2">
        <v>467475.45919999998</v>
      </c>
      <c r="J6" s="2">
        <v>1963404.65704</v>
      </c>
      <c r="K6" s="2">
        <v>0</v>
      </c>
      <c r="L6" s="2">
        <v>175283.20336000001</v>
      </c>
      <c r="M6" s="2">
        <v>55785.909720000003</v>
      </c>
      <c r="N6" s="2">
        <v>7656.6804479999992</v>
      </c>
      <c r="O6" s="2">
        <v>8834.1794720000016</v>
      </c>
      <c r="P6" s="2">
        <v>0</v>
      </c>
      <c r="Q6" s="2">
        <v>183455.52265600002</v>
      </c>
      <c r="R6" s="2">
        <v>3578.3110272000004</v>
      </c>
      <c r="S6" s="2">
        <v>0</v>
      </c>
      <c r="T6" s="2">
        <v>23862.516976000003</v>
      </c>
      <c r="U6" s="2">
        <v>79876.105360000016</v>
      </c>
      <c r="V6" s="2">
        <v>50442.339392000002</v>
      </c>
      <c r="W6" s="2">
        <v>0</v>
      </c>
      <c r="X6" s="2">
        <v>0</v>
      </c>
      <c r="Y6" s="2">
        <v>178376.10903999998</v>
      </c>
      <c r="Z6" s="2">
        <v>278965.87208000006</v>
      </c>
      <c r="AA6" s="2">
        <v>76746.103359999994</v>
      </c>
      <c r="AB6" s="2">
        <v>10858.401999999998</v>
      </c>
      <c r="AC6" s="2">
        <v>468863.47983999993</v>
      </c>
      <c r="AD6" s="2">
        <v>0</v>
      </c>
      <c r="AE6" s="2">
        <v>0</v>
      </c>
    </row>
    <row r="7" spans="1:31" x14ac:dyDescent="0.45">
      <c r="A7" s="10" t="s">
        <v>46</v>
      </c>
      <c r="B7" s="4">
        <v>1312251.4063999997</v>
      </c>
      <c r="C7" s="2">
        <v>0</v>
      </c>
      <c r="D7" s="2">
        <v>16510.95376</v>
      </c>
      <c r="E7" s="2">
        <v>95764.922919999997</v>
      </c>
      <c r="F7" s="2">
        <v>0</v>
      </c>
      <c r="G7" s="2">
        <v>0</v>
      </c>
      <c r="H7" s="2">
        <v>0</v>
      </c>
      <c r="I7" s="2">
        <v>742056.23711999995</v>
      </c>
      <c r="J7" s="2">
        <v>930670.00307199988</v>
      </c>
      <c r="K7" s="2">
        <v>879831.19676000008</v>
      </c>
      <c r="L7" s="2">
        <v>50996.620240000004</v>
      </c>
      <c r="M7" s="2">
        <v>111618.18984000001</v>
      </c>
      <c r="N7" s="2">
        <v>9698.832864</v>
      </c>
      <c r="O7" s="2">
        <v>8003.5310400000017</v>
      </c>
      <c r="P7" s="2">
        <v>0</v>
      </c>
      <c r="Q7" s="2">
        <v>133863.92553600002</v>
      </c>
      <c r="R7" s="2">
        <v>0</v>
      </c>
      <c r="S7" s="2">
        <v>37735.613248000009</v>
      </c>
      <c r="T7" s="2">
        <v>47749.764832000001</v>
      </c>
      <c r="U7" s="2">
        <v>70149.14112</v>
      </c>
      <c r="V7" s="2">
        <v>16806.487776000002</v>
      </c>
      <c r="W7" s="2">
        <v>0</v>
      </c>
      <c r="X7" s="2">
        <v>31057.039104000003</v>
      </c>
      <c r="Y7" s="2">
        <v>55899.517200000002</v>
      </c>
      <c r="Z7" s="2">
        <v>0</v>
      </c>
      <c r="AA7" s="2">
        <v>153554.80676000001</v>
      </c>
      <c r="AB7" s="2">
        <v>16492.405600000002</v>
      </c>
      <c r="AC7" s="2">
        <v>494633.05680000002</v>
      </c>
      <c r="AD7" s="2">
        <v>1464494.70368</v>
      </c>
      <c r="AE7" s="2">
        <v>0</v>
      </c>
    </row>
    <row r="8" spans="1:31" x14ac:dyDescent="0.45">
      <c r="A8" s="10" t="s">
        <v>47</v>
      </c>
      <c r="B8" s="4">
        <v>0</v>
      </c>
      <c r="C8" s="2">
        <v>14498.4784</v>
      </c>
      <c r="D8" s="2">
        <v>73422.891360000009</v>
      </c>
      <c r="E8" s="2">
        <v>382077.02562000003</v>
      </c>
      <c r="F8" s="2">
        <v>12517.534911999997</v>
      </c>
      <c r="G8" s="2">
        <v>0</v>
      </c>
      <c r="H8" s="2">
        <v>76338.043839999998</v>
      </c>
      <c r="I8" s="2">
        <v>263439.51647999993</v>
      </c>
      <c r="J8" s="2">
        <v>1884170.0088799999</v>
      </c>
      <c r="K8" s="2">
        <v>550344.00104</v>
      </c>
      <c r="L8" s="2">
        <v>101993.24048000001</v>
      </c>
      <c r="M8" s="2">
        <v>162929.35595999999</v>
      </c>
      <c r="N8" s="2">
        <v>2420.5348799999997</v>
      </c>
      <c r="O8" s="2">
        <v>8003.5310400000017</v>
      </c>
      <c r="P8" s="2">
        <v>41366.415567999997</v>
      </c>
      <c r="Q8" s="2">
        <v>0</v>
      </c>
      <c r="R8" s="2">
        <v>0</v>
      </c>
      <c r="S8" s="2">
        <v>53088.543552000003</v>
      </c>
      <c r="T8" s="2">
        <v>47749.764832000001</v>
      </c>
      <c r="U8" s="2">
        <v>57882.624640000002</v>
      </c>
      <c r="V8" s="2">
        <v>33612.975552000004</v>
      </c>
      <c r="W8" s="2">
        <v>17796.959519999997</v>
      </c>
      <c r="X8" s="2">
        <v>62114.078208000006</v>
      </c>
      <c r="Y8" s="2">
        <v>150471.17515999998</v>
      </c>
      <c r="Z8" s="2">
        <v>0</v>
      </c>
      <c r="AA8" s="2">
        <v>48083.013440000002</v>
      </c>
      <c r="AB8" s="2">
        <v>40176.860239999995</v>
      </c>
      <c r="AC8" s="2">
        <v>34685.059200000003</v>
      </c>
      <c r="AD8" s="2">
        <v>102453.85312</v>
      </c>
      <c r="AE8" s="2">
        <v>23638.857080000002</v>
      </c>
    </row>
    <row r="9" spans="1:31" x14ac:dyDescent="0.45">
      <c r="A9" s="10" t="s">
        <v>48</v>
      </c>
      <c r="B9" s="4">
        <v>0</v>
      </c>
      <c r="C9" s="2">
        <v>0</v>
      </c>
      <c r="D9" s="2">
        <v>36700.625920000006</v>
      </c>
      <c r="E9" s="2">
        <v>0</v>
      </c>
      <c r="F9" s="2">
        <v>12517.534911999997</v>
      </c>
      <c r="G9" s="2">
        <v>0</v>
      </c>
      <c r="H9" s="2">
        <v>34270.816959999996</v>
      </c>
      <c r="I9" s="2">
        <v>145387.43364</v>
      </c>
      <c r="J9" s="2">
        <v>0</v>
      </c>
      <c r="K9" s="2">
        <v>275074.62267999997</v>
      </c>
      <c r="L9" s="2">
        <v>101993.24048000001</v>
      </c>
      <c r="M9" s="2">
        <v>0</v>
      </c>
      <c r="N9" s="2">
        <v>4846.6342079999995</v>
      </c>
      <c r="O9" s="2">
        <v>47378.183360000003</v>
      </c>
      <c r="P9" s="2">
        <v>41366.415567999997</v>
      </c>
      <c r="Q9" s="2">
        <v>133863.92553600002</v>
      </c>
      <c r="R9" s="2">
        <v>0</v>
      </c>
      <c r="S9" s="2">
        <v>78230.574432000009</v>
      </c>
      <c r="T9" s="2">
        <v>71637.012688000003</v>
      </c>
      <c r="U9" s="2">
        <v>71586.623519999994</v>
      </c>
      <c r="V9" s="2">
        <v>65063.235647999994</v>
      </c>
      <c r="W9" s="2">
        <v>17796.959519999997</v>
      </c>
      <c r="X9" s="2">
        <v>0</v>
      </c>
      <c r="Y9" s="2">
        <v>0</v>
      </c>
      <c r="Z9" s="2">
        <v>0</v>
      </c>
      <c r="AA9" s="2">
        <v>48083.013440000002</v>
      </c>
      <c r="AB9" s="2">
        <v>10039.1916</v>
      </c>
      <c r="AC9" s="2">
        <v>225916.5888</v>
      </c>
      <c r="AD9" s="2">
        <v>1068859.3595199999</v>
      </c>
      <c r="AE9" s="2">
        <v>150003.60696</v>
      </c>
    </row>
    <row r="10" spans="1:31" x14ac:dyDescent="0.45">
      <c r="A10" s="10" t="s">
        <v>49</v>
      </c>
      <c r="B10" s="4">
        <v>0</v>
      </c>
      <c r="C10" s="2">
        <v>194288.88464</v>
      </c>
      <c r="D10" s="2">
        <v>18350.312960000003</v>
      </c>
      <c r="E10" s="2">
        <v>355405.15795999998</v>
      </c>
      <c r="F10" s="2">
        <v>37568.98894399999</v>
      </c>
      <c r="G10" s="2">
        <v>0</v>
      </c>
      <c r="H10" s="2">
        <v>30530.271359999995</v>
      </c>
      <c r="I10" s="2">
        <v>0</v>
      </c>
      <c r="J10" s="2">
        <v>1050195.582656</v>
      </c>
      <c r="K10" s="2">
        <v>0</v>
      </c>
      <c r="L10" s="2">
        <v>22134.137599999995</v>
      </c>
      <c r="M10" s="2">
        <v>111387.88351999999</v>
      </c>
      <c r="N10" s="2">
        <v>4846.6342079999995</v>
      </c>
      <c r="O10" s="2">
        <v>20530.649168</v>
      </c>
      <c r="P10" s="2">
        <v>66937.434475200003</v>
      </c>
      <c r="Q10" s="2">
        <v>0</v>
      </c>
      <c r="R10" s="2">
        <v>0</v>
      </c>
      <c r="S10" s="2">
        <v>101847.32828799999</v>
      </c>
      <c r="T10" s="2">
        <v>95524.260544000019</v>
      </c>
      <c r="U10" s="2">
        <v>31289.200240000002</v>
      </c>
      <c r="V10" s="2">
        <v>71610.736128000004</v>
      </c>
      <c r="W10" s="2">
        <v>71217.205999999991</v>
      </c>
      <c r="X10" s="2">
        <v>15528.519552000002</v>
      </c>
      <c r="Y10" s="2">
        <v>223643.66635999997</v>
      </c>
      <c r="Z10" s="2">
        <v>83367.796480000005</v>
      </c>
      <c r="AA10" s="2">
        <v>115221.16992</v>
      </c>
      <c r="AB10" s="2">
        <v>30137.66864</v>
      </c>
      <c r="AC10" s="2">
        <v>127598.97536</v>
      </c>
      <c r="AD10" s="2">
        <v>0</v>
      </c>
      <c r="AE10" s="2">
        <v>188606.96495999998</v>
      </c>
    </row>
    <row r="11" spans="1:31" x14ac:dyDescent="0.45">
      <c r="A11" s="10" t="s">
        <v>50</v>
      </c>
      <c r="B11" s="4">
        <v>429093.13344000001</v>
      </c>
      <c r="C11" s="2">
        <v>194288.88464</v>
      </c>
      <c r="D11" s="2">
        <v>18350.312960000003</v>
      </c>
      <c r="E11" s="2">
        <v>0</v>
      </c>
      <c r="F11" s="2">
        <v>0</v>
      </c>
      <c r="G11" s="2">
        <v>0</v>
      </c>
      <c r="H11" s="2">
        <v>45807.772479999992</v>
      </c>
      <c r="I11" s="2">
        <v>294780.49699999997</v>
      </c>
      <c r="J11" s="2">
        <v>1021079.9176319999</v>
      </c>
      <c r="K11" s="2">
        <v>275074.62267999997</v>
      </c>
      <c r="L11" s="2">
        <v>48627.092799999999</v>
      </c>
      <c r="M11" s="2">
        <v>37771.782159999995</v>
      </c>
      <c r="N11" s="2">
        <v>7272.7335359999997</v>
      </c>
      <c r="O11" s="2">
        <v>0</v>
      </c>
      <c r="P11" s="2">
        <v>0</v>
      </c>
      <c r="Q11" s="2">
        <v>40949.391104000002</v>
      </c>
      <c r="R11" s="2">
        <v>0</v>
      </c>
      <c r="S11" s="2">
        <v>0</v>
      </c>
      <c r="T11" s="2">
        <v>29799.473856000001</v>
      </c>
      <c r="U11" s="2">
        <v>31289.200240000002</v>
      </c>
      <c r="V11" s="2">
        <v>53703.105920000002</v>
      </c>
      <c r="W11" s="2">
        <v>35593.919039999993</v>
      </c>
      <c r="X11" s="2">
        <v>15528.519552000002</v>
      </c>
      <c r="Y11" s="2">
        <v>147271.61755999998</v>
      </c>
      <c r="Z11" s="2">
        <v>217084.57328000001</v>
      </c>
      <c r="AA11" s="2">
        <v>48083.013440000002</v>
      </c>
      <c r="AB11" s="2">
        <v>18285.394400000001</v>
      </c>
      <c r="AC11" s="2">
        <v>353515.56415999995</v>
      </c>
      <c r="AD11" s="2">
        <v>498985.69167999993</v>
      </c>
      <c r="AE11" s="2">
        <v>0</v>
      </c>
    </row>
    <row r="12" spans="1:31" x14ac:dyDescent="0.45">
      <c r="A12" s="10" t="s">
        <v>51</v>
      </c>
      <c r="B12" s="4">
        <v>7739188.8464000002</v>
      </c>
      <c r="C12" s="2">
        <v>142210.28839999999</v>
      </c>
      <c r="D12" s="2">
        <v>0</v>
      </c>
      <c r="E12" s="2">
        <v>177148.64591000002</v>
      </c>
      <c r="F12" s="2">
        <v>0</v>
      </c>
      <c r="G12" s="2">
        <v>0</v>
      </c>
      <c r="H12" s="2">
        <v>28094.279679999996</v>
      </c>
      <c r="I12" s="2">
        <v>145387.43364</v>
      </c>
      <c r="J12" s="2">
        <v>1527195.522016</v>
      </c>
      <c r="K12" s="2">
        <v>368899.71720000001</v>
      </c>
      <c r="L12" s="2">
        <v>66087.094079999995</v>
      </c>
      <c r="M12" s="2">
        <v>294464.40543999994</v>
      </c>
      <c r="N12" s="2">
        <v>6582.7419839999993</v>
      </c>
      <c r="O12" s="2">
        <v>61620.233447999992</v>
      </c>
      <c r="P12" s="2">
        <v>0</v>
      </c>
      <c r="Q12" s="2">
        <v>0</v>
      </c>
      <c r="R12" s="2">
        <v>0</v>
      </c>
      <c r="S12" s="2">
        <v>48217.178463999997</v>
      </c>
      <c r="T12" s="2">
        <v>24074.893408000004</v>
      </c>
      <c r="U12" s="2">
        <v>62626.316560000007</v>
      </c>
      <c r="V12" s="2">
        <v>53703.105920000002</v>
      </c>
      <c r="W12" s="2">
        <v>0</v>
      </c>
      <c r="X12" s="2">
        <v>18454.182656000001</v>
      </c>
      <c r="Y12" s="2">
        <v>111802.89859999999</v>
      </c>
      <c r="Z12" s="2">
        <v>0</v>
      </c>
      <c r="AA12" s="2">
        <v>109972.04064000001</v>
      </c>
      <c r="AB12" s="2">
        <v>18461.601920000001</v>
      </c>
      <c r="AC12" s="2">
        <v>0</v>
      </c>
      <c r="AD12" s="2">
        <v>355067.42688000004</v>
      </c>
      <c r="AE12" s="2">
        <v>0</v>
      </c>
    </row>
    <row r="13" spans="1:31" x14ac:dyDescent="0.45">
      <c r="A13" s="10" t="s">
        <v>52</v>
      </c>
      <c r="B13" s="4">
        <v>650419.05264000001</v>
      </c>
      <c r="C13" s="2">
        <v>14648.40936</v>
      </c>
      <c r="D13" s="2">
        <v>18350.312960000003</v>
      </c>
      <c r="E13" s="2">
        <v>0</v>
      </c>
      <c r="F13" s="2">
        <v>0</v>
      </c>
      <c r="G13" s="4">
        <v>851838.93195999984</v>
      </c>
      <c r="H13" s="2">
        <v>41708.629119999991</v>
      </c>
      <c r="I13" s="2">
        <v>227642.34049999999</v>
      </c>
      <c r="J13" s="2">
        <v>2377404.8435519999</v>
      </c>
      <c r="K13" s="2">
        <v>469454.54787200008</v>
      </c>
      <c r="L13" s="2">
        <v>221265.63768000001</v>
      </c>
      <c r="M13" s="2">
        <v>0</v>
      </c>
      <c r="N13" s="2">
        <v>2192.3925119999999</v>
      </c>
      <c r="O13" s="2">
        <v>41075.827728000004</v>
      </c>
      <c r="P13" s="2">
        <v>54462.560331200002</v>
      </c>
      <c r="Q13" s="2">
        <v>0</v>
      </c>
      <c r="R13" s="2">
        <v>0</v>
      </c>
      <c r="S13" s="2">
        <v>22356.715520000002</v>
      </c>
      <c r="T13" s="2">
        <v>74552.474304000003</v>
      </c>
      <c r="U13" s="2">
        <v>0</v>
      </c>
      <c r="V13" s="2">
        <v>0</v>
      </c>
      <c r="W13" s="2">
        <v>78353.610559999986</v>
      </c>
      <c r="X13" s="2">
        <v>0</v>
      </c>
      <c r="Y13" s="2">
        <v>202752.25547999999</v>
      </c>
      <c r="Z13" s="2">
        <v>57366.36752</v>
      </c>
      <c r="AA13" s="2">
        <v>0</v>
      </c>
      <c r="AB13" s="2">
        <v>0</v>
      </c>
      <c r="AC13" s="2">
        <v>127598.97536</v>
      </c>
      <c r="AD13" s="2">
        <v>351908.05696000002</v>
      </c>
      <c r="AE13" s="2">
        <v>0</v>
      </c>
    </row>
    <row r="14" spans="1:31" x14ac:dyDescent="0.45">
      <c r="A14" s="10" t="s">
        <v>53</v>
      </c>
      <c r="B14" s="4">
        <v>375402.39295999997</v>
      </c>
      <c r="C14" s="2">
        <v>0</v>
      </c>
      <c r="D14" s="2">
        <v>59184.087200000002</v>
      </c>
      <c r="E14" s="2">
        <v>32579.843242488128</v>
      </c>
      <c r="F14" s="2">
        <v>0</v>
      </c>
      <c r="G14" s="4">
        <v>0</v>
      </c>
      <c r="H14" s="2">
        <v>0</v>
      </c>
      <c r="I14" s="2">
        <v>109207.7019</v>
      </c>
      <c r="J14" s="2">
        <v>0</v>
      </c>
      <c r="K14" s="2">
        <v>828047.51626399998</v>
      </c>
      <c r="L14" s="2">
        <v>0</v>
      </c>
      <c r="M14" s="2">
        <v>0</v>
      </c>
      <c r="N14" s="2">
        <v>0</v>
      </c>
      <c r="O14" s="2">
        <v>29663.144880000003</v>
      </c>
      <c r="P14" s="2">
        <v>0</v>
      </c>
      <c r="Q14" s="2">
        <v>0</v>
      </c>
      <c r="R14" s="2">
        <v>0</v>
      </c>
      <c r="S14" s="2">
        <v>81025.782143999983</v>
      </c>
      <c r="T14" s="2">
        <v>61612.04134399999</v>
      </c>
      <c r="U14" s="2">
        <v>75899.070720000003</v>
      </c>
      <c r="V14" s="2">
        <v>53703.105920000002</v>
      </c>
      <c r="W14" s="2">
        <v>0</v>
      </c>
      <c r="X14" s="2">
        <v>36700.625920000006</v>
      </c>
      <c r="Y14" s="2">
        <v>0</v>
      </c>
      <c r="Z14" s="2">
        <v>108458.81991999999</v>
      </c>
      <c r="AA14" s="2">
        <v>116075.93096</v>
      </c>
      <c r="AB14" s="2">
        <v>10640.461119999998</v>
      </c>
      <c r="AC14" s="2">
        <v>598470.29352000006</v>
      </c>
      <c r="AD14" s="2">
        <v>351908.05696000002</v>
      </c>
      <c r="AE14" s="2">
        <v>87351.01384</v>
      </c>
    </row>
    <row r="15" spans="1:31" s="1" customFormat="1" x14ac:dyDescent="0.45">
      <c r="A15" s="10" t="s">
        <v>54</v>
      </c>
      <c r="B15" s="9">
        <f>SUM(B5:B14)</f>
        <v>12025361.03208</v>
      </c>
      <c r="C15" s="6">
        <f>SUM(C5:C14)</f>
        <v>635540.3369600001</v>
      </c>
      <c r="D15" s="2">
        <f>SUM(D5:D14)</f>
        <v>257380.45088000008</v>
      </c>
      <c r="E15" s="2">
        <f>SUM(E5:E14)</f>
        <v>1628057.7886424882</v>
      </c>
      <c r="F15" s="2">
        <f>SUM(F5:F14)</f>
        <v>80036.856079999983</v>
      </c>
      <c r="G15" s="9">
        <f>SUM(G5:G13)</f>
        <v>851838.93195999984</v>
      </c>
      <c r="H15" s="2">
        <f t="shared" ref="H15:AE15" si="0">SUM(H5:H14)</f>
        <v>296529.43391999998</v>
      </c>
      <c r="I15" s="2">
        <f t="shared" si="0"/>
        <v>2395376.6194799999</v>
      </c>
      <c r="J15" s="2">
        <f t="shared" si="0"/>
        <v>12814937.964256</v>
      </c>
      <c r="K15" s="2">
        <f t="shared" si="0"/>
        <v>5197419.0193039998</v>
      </c>
      <c r="L15" s="2">
        <f t="shared" si="0"/>
        <v>788380.26672000007</v>
      </c>
      <c r="M15" s="2">
        <f t="shared" si="0"/>
        <v>997256.50636</v>
      </c>
      <c r="N15" s="2">
        <f t="shared" si="0"/>
        <v>53173.865087999991</v>
      </c>
      <c r="O15" s="2">
        <f t="shared" si="0"/>
        <v>225109.28013600002</v>
      </c>
      <c r="P15" s="2">
        <f t="shared" si="0"/>
        <v>298538.5396976</v>
      </c>
      <c r="Q15" s="2">
        <f t="shared" si="0"/>
        <v>541619.25571200007</v>
      </c>
      <c r="R15" s="2">
        <f t="shared" si="0"/>
        <v>3578.3110272000004</v>
      </c>
      <c r="S15" s="2">
        <f t="shared" si="0"/>
        <v>521621.24787199998</v>
      </c>
      <c r="T15" s="2">
        <f t="shared" si="0"/>
        <v>524311.9676160001</v>
      </c>
      <c r="U15" s="2">
        <f t="shared" si="0"/>
        <v>578059.58912000002</v>
      </c>
      <c r="V15" s="2">
        <f t="shared" si="0"/>
        <v>465893.91942400002</v>
      </c>
      <c r="W15" s="2">
        <f t="shared" si="0"/>
        <v>330506.57167999999</v>
      </c>
      <c r="X15" s="2">
        <f t="shared" si="0"/>
        <v>213331.04396800004</v>
      </c>
      <c r="Y15" s="2">
        <f t="shared" si="0"/>
        <v>1189014.3399999999</v>
      </c>
      <c r="Z15" s="2">
        <f t="shared" si="0"/>
        <v>1403636.6450399999</v>
      </c>
      <c r="AA15" s="2">
        <f t="shared" si="0"/>
        <v>741959.63212000008</v>
      </c>
      <c r="AB15" s="2">
        <f t="shared" si="0"/>
        <v>165950.38751999999</v>
      </c>
      <c r="AC15" s="2">
        <f t="shared" si="0"/>
        <v>2431281.9930400001</v>
      </c>
      <c r="AD15" s="2">
        <f t="shared" si="0"/>
        <v>5211028.2679999992</v>
      </c>
      <c r="AE15" s="2">
        <f t="shared" si="0"/>
        <v>544343.67128000001</v>
      </c>
    </row>
    <row r="16" spans="1:31" s="1" customFormat="1" x14ac:dyDescent="0.45">
      <c r="A16" s="10" t="s">
        <v>55</v>
      </c>
      <c r="B16" s="9">
        <v>9</v>
      </c>
      <c r="C16" s="6">
        <v>7</v>
      </c>
      <c r="D16" s="2">
        <v>5</v>
      </c>
      <c r="E16" s="2">
        <v>5</v>
      </c>
      <c r="F16" s="2">
        <v>1</v>
      </c>
      <c r="G16" s="9">
        <v>10</v>
      </c>
      <c r="H16" s="2">
        <v>5</v>
      </c>
      <c r="I16" s="2">
        <v>4</v>
      </c>
      <c r="J16" s="2">
        <v>10</v>
      </c>
      <c r="K16" s="2">
        <v>2</v>
      </c>
      <c r="L16" s="2">
        <v>10</v>
      </c>
      <c r="M16" s="2">
        <v>9</v>
      </c>
      <c r="N16" s="2">
        <v>4</v>
      </c>
      <c r="O16" s="2">
        <v>9</v>
      </c>
      <c r="P16" s="2">
        <v>1</v>
      </c>
      <c r="Q16" s="2">
        <v>3</v>
      </c>
      <c r="R16" s="2">
        <v>1</v>
      </c>
      <c r="S16" s="2">
        <v>7</v>
      </c>
      <c r="T16" s="2">
        <v>7</v>
      </c>
      <c r="U16" s="2">
        <v>1</v>
      </c>
      <c r="V16" s="2">
        <v>7</v>
      </c>
      <c r="W16" s="2">
        <v>2</v>
      </c>
      <c r="X16" s="2">
        <v>5</v>
      </c>
      <c r="Y16" s="2">
        <v>7</v>
      </c>
      <c r="Z16" s="2">
        <v>2</v>
      </c>
      <c r="AA16" s="2">
        <v>4</v>
      </c>
      <c r="AB16" s="2">
        <v>5</v>
      </c>
      <c r="AC16" s="2">
        <v>11</v>
      </c>
      <c r="AD16" s="2">
        <v>4</v>
      </c>
      <c r="AE16" s="2">
        <v>7</v>
      </c>
    </row>
    <row r="17" spans="1:31" x14ac:dyDescent="0.45">
      <c r="A17" s="10" t="s">
        <v>56</v>
      </c>
      <c r="B17" s="2">
        <v>7739188</v>
      </c>
      <c r="C17" s="2">
        <v>194288</v>
      </c>
      <c r="D17" s="2">
        <v>73422</v>
      </c>
      <c r="E17" s="2">
        <v>382077</v>
      </c>
      <c r="F17" s="2">
        <v>69763</v>
      </c>
      <c r="G17" s="2">
        <v>851838</v>
      </c>
      <c r="H17" s="2">
        <v>76338</v>
      </c>
      <c r="I17" s="2">
        <v>742056</v>
      </c>
      <c r="J17" s="2">
        <v>2377404</v>
      </c>
      <c r="K17" s="2">
        <v>1550692</v>
      </c>
      <c r="L17" s="2">
        <v>221265</v>
      </c>
      <c r="M17" s="2">
        <v>294464</v>
      </c>
      <c r="N17" s="10">
        <v>9698</v>
      </c>
      <c r="O17" s="2">
        <v>61620</v>
      </c>
      <c r="P17" s="2">
        <v>120385</v>
      </c>
      <c r="Q17" s="2">
        <v>183455</v>
      </c>
      <c r="R17" s="2">
        <v>8453</v>
      </c>
      <c r="S17" s="2">
        <v>101847</v>
      </c>
      <c r="T17" s="2">
        <v>95524</v>
      </c>
      <c r="U17" s="2">
        <v>114136</v>
      </c>
      <c r="V17" s="2">
        <v>71620</v>
      </c>
      <c r="W17" s="2">
        <v>109747</v>
      </c>
      <c r="X17" s="2">
        <v>62114</v>
      </c>
      <c r="Y17" s="2">
        <v>223643</v>
      </c>
      <c r="Z17" s="2">
        <v>658393</v>
      </c>
      <c r="AA17" s="2">
        <v>1535524</v>
      </c>
      <c r="AB17" s="2">
        <v>40176</v>
      </c>
      <c r="AC17" s="2">
        <v>598470</v>
      </c>
      <c r="AD17" s="2">
        <v>1464494</v>
      </c>
      <c r="AE17" s="2">
        <v>188606</v>
      </c>
    </row>
    <row r="18" spans="1:31" x14ac:dyDescent="0.45">
      <c r="A18" s="10" t="s">
        <v>41</v>
      </c>
      <c r="B18" s="2">
        <v>90500000</v>
      </c>
      <c r="C18" s="2">
        <v>5640000</v>
      </c>
      <c r="D18" s="2">
        <v>2100000</v>
      </c>
      <c r="E18" s="2">
        <v>6320000</v>
      </c>
      <c r="F18" s="2">
        <v>1610000</v>
      </c>
      <c r="G18" s="2">
        <v>26400000</v>
      </c>
      <c r="H18" s="2">
        <v>2490000</v>
      </c>
      <c r="I18" s="2">
        <v>26400000</v>
      </c>
      <c r="J18" s="2">
        <v>66300000</v>
      </c>
      <c r="K18" s="2">
        <v>57000000</v>
      </c>
      <c r="L18" s="2">
        <v>7970000</v>
      </c>
      <c r="M18" s="2">
        <v>10700000</v>
      </c>
      <c r="N18" s="2">
        <v>530000</v>
      </c>
      <c r="O18" s="2">
        <v>2590000</v>
      </c>
      <c r="P18" s="2">
        <v>6700000</v>
      </c>
      <c r="Q18" s="2">
        <v>11900000</v>
      </c>
      <c r="R18" s="2">
        <v>2960000</v>
      </c>
      <c r="S18" s="2">
        <v>2210000</v>
      </c>
      <c r="T18" s="2">
        <v>3760000</v>
      </c>
      <c r="U18" s="2">
        <v>4540000</v>
      </c>
      <c r="V18" s="2">
        <v>2210000</v>
      </c>
      <c r="W18" s="2">
        <v>2950000</v>
      </c>
      <c r="X18" s="2" t="s">
        <v>42</v>
      </c>
      <c r="Y18" s="2">
        <v>5900000</v>
      </c>
      <c r="Z18" s="2">
        <v>20800000</v>
      </c>
      <c r="AA18" s="2">
        <v>6250000</v>
      </c>
      <c r="AB18" s="2">
        <v>1960000</v>
      </c>
      <c r="AC18" s="2">
        <v>26400000</v>
      </c>
      <c r="AD18" s="2">
        <v>57000000</v>
      </c>
      <c r="AE18" s="2">
        <v>6250000</v>
      </c>
    </row>
    <row r="19" spans="1:31" x14ac:dyDescent="0.45">
      <c r="A19" s="10" t="s">
        <v>43</v>
      </c>
      <c r="B19" s="2">
        <f t="shared" ref="B19:W19" si="1">(B15/B18)*1000</f>
        <v>132.87691748154694</v>
      </c>
      <c r="C19" s="2">
        <f t="shared" si="1"/>
        <v>112.68445690780143</v>
      </c>
      <c r="D19" s="2">
        <f t="shared" si="1"/>
        <v>122.5621194666667</v>
      </c>
      <c r="E19" s="2">
        <f t="shared" si="1"/>
        <v>257.60408048140636</v>
      </c>
      <c r="F19" s="2">
        <f t="shared" si="1"/>
        <v>49.712332968944089</v>
      </c>
      <c r="G19" s="2">
        <f t="shared" si="1"/>
        <v>32.266626210606056</v>
      </c>
      <c r="H19" s="2">
        <f t="shared" si="1"/>
        <v>119.08812607228914</v>
      </c>
      <c r="I19" s="2">
        <f t="shared" si="1"/>
        <v>90.733962859090909</v>
      </c>
      <c r="J19" s="2">
        <f t="shared" si="1"/>
        <v>193.2871487821418</v>
      </c>
      <c r="K19" s="2">
        <f t="shared" si="1"/>
        <v>91.182789812350876</v>
      </c>
      <c r="L19" s="2">
        <f t="shared" si="1"/>
        <v>98.918477631116687</v>
      </c>
      <c r="M19" s="2">
        <f t="shared" si="1"/>
        <v>93.201542650467289</v>
      </c>
      <c r="N19" s="2">
        <f t="shared" si="1"/>
        <v>100.32804733584905</v>
      </c>
      <c r="O19" s="2">
        <f t="shared" si="1"/>
        <v>86.914779975289576</v>
      </c>
      <c r="P19" s="2">
        <f t="shared" si="1"/>
        <v>44.557990999641788</v>
      </c>
      <c r="Q19" s="2">
        <f t="shared" si="1"/>
        <v>45.514223169075635</v>
      </c>
      <c r="R19" s="2">
        <f t="shared" si="1"/>
        <v>1.2088888605405408</v>
      </c>
      <c r="S19" s="2">
        <f t="shared" si="1"/>
        <v>236.02771396923075</v>
      </c>
      <c r="T19" s="2">
        <f t="shared" si="1"/>
        <v>139.4446722382979</v>
      </c>
      <c r="U19" s="2">
        <f t="shared" si="1"/>
        <v>127.32590068722469</v>
      </c>
      <c r="V19" s="2">
        <f t="shared" si="1"/>
        <v>210.81172824615385</v>
      </c>
      <c r="W19" s="2">
        <f t="shared" si="1"/>
        <v>112.03612599322034</v>
      </c>
      <c r="X19" s="2">
        <v>121.90345000000001</v>
      </c>
      <c r="Y19" s="2">
        <f>(Y15/Y18)*1000</f>
        <v>201.52785423728812</v>
      </c>
      <c r="Z19" s="2">
        <f>(Z15/Z18)*1000</f>
        <v>67.482531011538455</v>
      </c>
      <c r="AA19" s="2">
        <f>(AA15/AA18)*1000</f>
        <v>118.71354113920002</v>
      </c>
      <c r="AB19" s="2">
        <f>(AB15/AB18)*1000</f>
        <v>84.668565061224484</v>
      </c>
      <c r="AC19" s="2">
        <f>(AC15/AC18)*1000</f>
        <v>92.094014887878785</v>
      </c>
      <c r="AD19" s="2">
        <f>(AD15/AD18*1000)</f>
        <v>91.421548561403498</v>
      </c>
      <c r="AE19" s="2">
        <f>(AE15/AE18)*1000</f>
        <v>87.094987404799994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664062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664062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Edier Aristizabal</cp:lastModifiedBy>
  <dcterms:created xsi:type="dcterms:W3CDTF">2019-08-08T14:54:35Z</dcterms:created>
  <dcterms:modified xsi:type="dcterms:W3CDTF">2019-10-12T14:43:37Z</dcterms:modified>
</cp:coreProperties>
</file>