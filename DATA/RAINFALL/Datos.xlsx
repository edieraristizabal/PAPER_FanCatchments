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INVESTIGACION\SEGUIMIENTO ESTUDIANTES\PAE\Emanuel Castillo\"/>
    </mc:Choice>
  </mc:AlternateContent>
  <xr:revisionPtr revIDLastSave="0" documentId="13_ncr:1_{34B54BDC-D63E-494E-BE0E-B07289DDBF9E}" xr6:coauthVersionLast="45" xr6:coauthVersionMax="45" xr10:uidLastSave="{00000000-0000-0000-0000-000000000000}"/>
  <bookViews>
    <workbookView xWindow="-20520" yWindow="-120" windowWidth="20640" windowHeight="11760" activeTab="3" xr2:uid="{00000000-000D-0000-FFFF-FFFF00000000}"/>
  </bookViews>
  <sheets>
    <sheet name="10 dias" sheetId="5" r:id="rId1"/>
    <sheet name="30 dias" sheetId="4" r:id="rId2"/>
    <sheet name="60 dias" sheetId="3" r:id="rId3"/>
    <sheet name="90 dias" sheetId="1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5" l="1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B16" i="5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C37" i="4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C67" i="3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C95" i="1" l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B95" i="1"/>
  <c r="AI94" i="1" l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AG94" i="1"/>
  <c r="AH94" i="1"/>
  <c r="AF94" i="1"/>
  <c r="AA94" i="1"/>
  <c r="AE94" i="1"/>
  <c r="AD94" i="1" l="1"/>
  <c r="AC94" i="1"/>
  <c r="AB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</calcChain>
</file>

<file path=xl/sharedStrings.xml><?xml version="1.0" encoding="utf-8"?>
<sst xmlns="http://schemas.openxmlformats.org/spreadsheetml/2006/main" count="752" uniqueCount="212">
  <si>
    <t>Cuenca</t>
  </si>
  <si>
    <t>1-Rio San Carlos</t>
  </si>
  <si>
    <t>2-Quebrada Llanadas</t>
  </si>
  <si>
    <t>3-Quebrada El Trigal</t>
  </si>
  <si>
    <t>4-Quebrada El Trique</t>
  </si>
  <si>
    <t>5-Quebrada Potreros</t>
  </si>
  <si>
    <t>6-Quebrada Negra y Piña</t>
  </si>
  <si>
    <t>7-Quebrada La Hondita</t>
  </si>
  <si>
    <t>8-Quebrada Negra y Piña</t>
  </si>
  <si>
    <t>9-Rio Melcocho</t>
  </si>
  <si>
    <t>10-Rio Dormilon</t>
  </si>
  <si>
    <t>11-Quebrada La Presidenta</t>
  </si>
  <si>
    <t>12-Quebrada La Garcia</t>
  </si>
  <si>
    <t>13-Quebrada La Raya</t>
  </si>
  <si>
    <t>14-Quebrada El Barro</t>
  </si>
  <si>
    <t>15-Quebrada Los Aguacates</t>
  </si>
  <si>
    <t>16-Quebrada El Chuscal y Potrerito</t>
  </si>
  <si>
    <t>17-Quebrada La limona</t>
  </si>
  <si>
    <t>18-Quebrada La Arrocera</t>
  </si>
  <si>
    <t>19-Quebrada La Tirana</t>
  </si>
  <si>
    <t>20-Quebrada Don matias</t>
  </si>
  <si>
    <t xml:space="preserve">21-Quebrada La Arrocera </t>
  </si>
  <si>
    <t>22-Quebrada Santa Lucia</t>
  </si>
  <si>
    <t>23-Quebrada Yarumalito</t>
  </si>
  <si>
    <t>24-Quebrada La montera</t>
  </si>
  <si>
    <t>25-Rio San Antonio</t>
  </si>
  <si>
    <t xml:space="preserve">26-Quebrada Los Monos </t>
  </si>
  <si>
    <t>27-Quebrada La Manga</t>
  </si>
  <si>
    <t>28-Quebrada San Agustin</t>
  </si>
  <si>
    <t>29-Quebrada La Liborina</t>
  </si>
  <si>
    <t xml:space="preserve">30-Quebrada Los Monos </t>
  </si>
  <si>
    <t xml:space="preserve">Dia del evento </t>
  </si>
  <si>
    <t>(21/09/1990)</t>
  </si>
  <si>
    <t>(13/05/1995)</t>
  </si>
  <si>
    <t>(24/06/2010)</t>
  </si>
  <si>
    <t xml:space="preserve">08/06/2005
</t>
  </si>
  <si>
    <t xml:space="preserve"> 
06/10/2005</t>
  </si>
  <si>
    <t xml:space="preserve">2018-02-17
</t>
  </si>
  <si>
    <t>Dia 3 -Total precipitacion  (mm)</t>
  </si>
  <si>
    <t>Dia 4 -Total precipitacion  (mm)</t>
  </si>
  <si>
    <t>Dia 5 -Total precipitacion  (mm)</t>
  </si>
  <si>
    <t>Dia 7 -Total precipitacion  (mm)</t>
  </si>
  <si>
    <t>Dia 9 -Total precipitacion  (mm)</t>
  </si>
  <si>
    <t>Dia 10 -Total precipitacion  (mm)</t>
  </si>
  <si>
    <t>Dia 11 -Total precipitacion  (mm)</t>
  </si>
  <si>
    <t>Dia 90 -Total precipitacion (mm)</t>
  </si>
  <si>
    <t>Dia 89 -Total precipitacion (mm)</t>
  </si>
  <si>
    <t>Dia 88 -Total precipitacion  (mm)</t>
  </si>
  <si>
    <t>Dia 87 -Total precipitacion  (mm)</t>
  </si>
  <si>
    <t>Dia 86 -Total precipitacion  (mm)</t>
  </si>
  <si>
    <t>Dia 85 -Total precipitacion (mm)</t>
  </si>
  <si>
    <t>Dia 84 -Total precipitacion  (mm)</t>
  </si>
  <si>
    <t>Dia 83 -Total precipitacion  (mm)</t>
  </si>
  <si>
    <t>Dia 82 -Total precipitacion  (mm)</t>
  </si>
  <si>
    <t>Dia 81 -Total precipitacion  (mm)</t>
  </si>
  <si>
    <t>Dia 80 -Total precipitacion  (mm)</t>
  </si>
  <si>
    <t>Dia 79 -Total precipitacion (mm)</t>
  </si>
  <si>
    <t>Dia 78 -Total precipitacion (mm)</t>
  </si>
  <si>
    <t>Dia 77 -Total precipitacion  (mm)</t>
  </si>
  <si>
    <t>Dia 76 -Total precipitacion  (mm)</t>
  </si>
  <si>
    <t>Dia 75 -Total precipitacion  (mm)</t>
  </si>
  <si>
    <t>Dia 74 -Total precipitacion (mm)</t>
  </si>
  <si>
    <t>Dia 73 -Total precipitacion  (mm)</t>
  </si>
  <si>
    <t>Dia 72 -Total precipitacion  (mm)</t>
  </si>
  <si>
    <t>Dia 71 -Total precipitacion  (mm)</t>
  </si>
  <si>
    <t>Dia 70 -Total precipitacion  (mm)</t>
  </si>
  <si>
    <t>Dia 69 -Total precipitacion  (mm)</t>
  </si>
  <si>
    <t>Dia 68 -Total precipitacion (mm)</t>
  </si>
  <si>
    <t>Dia 67 -Total precipitacion (mm)</t>
  </si>
  <si>
    <t>Dia 66 -Total precipitacion  (mm)</t>
  </si>
  <si>
    <t>Dia 65 -Total precipitacion  (mm)</t>
  </si>
  <si>
    <t>Dia 64 -Total precipitacion  (mm)</t>
  </si>
  <si>
    <t>Dia 63 -Total precipitacion (mm)</t>
  </si>
  <si>
    <t>Dia 62 -Total precipitacion  (mm)</t>
  </si>
  <si>
    <t>Dia 61 -Total precipitacion  (mm)</t>
  </si>
  <si>
    <t>Dia 60 -Total precipitacion  (mm)</t>
  </si>
  <si>
    <t>Dia 59 -Total precipitacion  (mm)</t>
  </si>
  <si>
    <t>Dia 58 -Total precipitacion  (mm)</t>
  </si>
  <si>
    <t>Dia 57 -Total precipitacion (mm)</t>
  </si>
  <si>
    <t>Dia 56 -Total precipitacion (mm)</t>
  </si>
  <si>
    <t>Dia 55 -Total precipitacion  (mm)</t>
  </si>
  <si>
    <t>Dia 54 -Total precipitacion  (mm)</t>
  </si>
  <si>
    <t>Dia 53 -Total precipitacion  (mm)</t>
  </si>
  <si>
    <t>Dia 52 -Total precipitacion (mm)</t>
  </si>
  <si>
    <t>Dia 51 -Total precipitacion  (mm)</t>
  </si>
  <si>
    <t>Dia 50 -Total precipitacion  (mm)</t>
  </si>
  <si>
    <t>Dia 49 -Total precipitacion  (mm)</t>
  </si>
  <si>
    <t>Dia 48 -Total precipitacion  (mm)</t>
  </si>
  <si>
    <t>Dia 47 -Total precipitacion  (mm)</t>
  </si>
  <si>
    <t>Dia 46 -Total precipitacion (mm)</t>
  </si>
  <si>
    <t>Dia 45 -Total precipitacion (mm)</t>
  </si>
  <si>
    <t>Dia 44 -Total precipitacion  (mm)</t>
  </si>
  <si>
    <t>Dia 43 -Total precipitacion  (mm)</t>
  </si>
  <si>
    <t>Dia 42 -Total precipitacion  (mm)</t>
  </si>
  <si>
    <t>Dia 41 -Total precipitacion (mm)</t>
  </si>
  <si>
    <t>Dia 40 -Total precipitacion  (mm)</t>
  </si>
  <si>
    <t>Dia 39 -Total precipitacion  (mm)</t>
  </si>
  <si>
    <t>Dia 38 -Total precipitacion  (mm)</t>
  </si>
  <si>
    <t>Dia 37 -Total precipitacion  (mm)</t>
  </si>
  <si>
    <t>Dia 36 -Total precipitacion  (mm)</t>
  </si>
  <si>
    <t>Dia 35 -Total precipitacion (mm)</t>
  </si>
  <si>
    <t>Dia 34 -Total precipitacion (mm)</t>
  </si>
  <si>
    <t>Dia 33 -Total precipitacion  (mm)</t>
  </si>
  <si>
    <t>Dia 32 -Total precipitacion  (mm)</t>
  </si>
  <si>
    <t>Dia 31 -Total precipitacion  (mm)</t>
  </si>
  <si>
    <t>Dia 30 -Total precipitacion (mm)</t>
  </si>
  <si>
    <t>Dia 29 -Total precipitacion  (mm)</t>
  </si>
  <si>
    <t>Dia 28 -Total precipitacion  (mm)</t>
  </si>
  <si>
    <t>Dia 27 -Total precipitacion  (mm)</t>
  </si>
  <si>
    <t>Dia 26 -Total precipitacion  (mm)</t>
  </si>
  <si>
    <t>Dia 25 -Total precipitacion  (mm)</t>
  </si>
  <si>
    <t>Dia 24 -Total precipitacion (mm)</t>
  </si>
  <si>
    <t>Dia 23 -Total precipitacion (mm)</t>
  </si>
  <si>
    <t>Dia 22 -Total precipitacion  (mm)</t>
  </si>
  <si>
    <t>Dia 21 -Total precipitacion  (mm)</t>
  </si>
  <si>
    <t>Dia 20 -Total precipitacion  (mm)</t>
  </si>
  <si>
    <t>Dia 19 -Total precipitacion (mm)</t>
  </si>
  <si>
    <t>Dia 18 -Total precipitacion  (mm)</t>
  </si>
  <si>
    <t>Dia 17 -Total precipitacion  (mm)</t>
  </si>
  <si>
    <t>Dia 16 -Total precipitacion  (mm)</t>
  </si>
  <si>
    <t>Dia 15 -Total precipitacion  (mm)</t>
  </si>
  <si>
    <t>Dia 14 -Total precipitacion  (mm)</t>
  </si>
  <si>
    <t>Dia 13 -Total precipitacion (mm)</t>
  </si>
  <si>
    <t>Dia 12 -Total precipitacion (mm)</t>
  </si>
  <si>
    <t>Dia 8 -Total precipitacion (mm)</t>
  </si>
  <si>
    <t>Dia 6 -Total precipitacion  (mm)</t>
  </si>
  <si>
    <t>Dia 2 -Total precipitacion  (mm)</t>
  </si>
  <si>
    <t>Dia 1 -Total precipitacion  (mm)</t>
  </si>
  <si>
    <t>58.4</t>
  </si>
  <si>
    <t>31-Quebrada San Agustín</t>
  </si>
  <si>
    <t xml:space="preserve">32-Quebrada El Trigal </t>
  </si>
  <si>
    <t>33-Quebada Los potreros</t>
  </si>
  <si>
    <t>34-Quebada Los potreros</t>
  </si>
  <si>
    <t>35-Quebada Los potreros</t>
  </si>
  <si>
    <t>36-Quebada Los potreros</t>
  </si>
  <si>
    <t>37-Rio taparto</t>
  </si>
  <si>
    <t>38-Rio taparto</t>
  </si>
  <si>
    <t>102-Quebrada Santa Lucia</t>
  </si>
  <si>
    <t>39-Rio taparto</t>
  </si>
  <si>
    <t>40-Rio taparto</t>
  </si>
  <si>
    <t>41-Rio taparto</t>
  </si>
  <si>
    <t>42-Quebrada Juan Garcia</t>
  </si>
  <si>
    <t>43-Quebrada Juan Garcia</t>
  </si>
  <si>
    <t>44-Quebrada Los llanos</t>
  </si>
  <si>
    <t>45-Quebrada Los llanos</t>
  </si>
  <si>
    <t>46-Quebrada Las gaucas</t>
  </si>
  <si>
    <t>47-Quebrada Las gaucas</t>
  </si>
  <si>
    <t>48-Quebrada Manglar</t>
  </si>
  <si>
    <t>49-Quebrada El socorro</t>
  </si>
  <si>
    <t>50-Quebrada La sopetrana</t>
  </si>
  <si>
    <t>51-Quebrada Chuscal</t>
  </si>
  <si>
    <t>52-Quebrada El medio</t>
  </si>
  <si>
    <t>53-Quebrada Titiribi</t>
  </si>
  <si>
    <t>54-Quebada La Chuscala</t>
  </si>
  <si>
    <t>55-Quebrada La corrala</t>
  </si>
  <si>
    <t>56-Quebrada Altavista</t>
  </si>
  <si>
    <t>57-Quebrada La Picacha</t>
  </si>
  <si>
    <t>58-Quebrada Ana Diaz</t>
  </si>
  <si>
    <t>59-Quebrada La Hueso</t>
  </si>
  <si>
    <t>60-Quebrada La Hueso</t>
  </si>
  <si>
    <t>61-Quebrada La Hueso</t>
  </si>
  <si>
    <t>62-Quebrada La Iguana</t>
  </si>
  <si>
    <t>63-Quebrada La Iguana</t>
  </si>
  <si>
    <t>64-Quebrada La Iguana</t>
  </si>
  <si>
    <t>65-Quebrada La Iguana</t>
  </si>
  <si>
    <t>66-Quebrada La Iguana</t>
  </si>
  <si>
    <t>67-Quebrada La Iguana</t>
  </si>
  <si>
    <t>68-Quebrada La Quintana</t>
  </si>
  <si>
    <t>69-Quebrada La Garcia</t>
  </si>
  <si>
    <t>70-Quebrada La Garcia</t>
  </si>
  <si>
    <t>71-Quebrada La Garcia</t>
  </si>
  <si>
    <t>72-Quebrada La Garcia</t>
  </si>
  <si>
    <t>73-Quebrada La Garcia</t>
  </si>
  <si>
    <t>74-Quebrada Bermejala</t>
  </si>
  <si>
    <t>75-Quebrada Bermejala</t>
  </si>
  <si>
    <t>76-Quebrada Santa Elena</t>
  </si>
  <si>
    <t>77-Quebrada Santa Elena</t>
  </si>
  <si>
    <t>78-Quebrada Santa Elena</t>
  </si>
  <si>
    <t>79-Quebrada Santa Elena</t>
  </si>
  <si>
    <t>80-Quebrada Santa Elena</t>
  </si>
  <si>
    <t>81-Quebrada Santa Elena</t>
  </si>
  <si>
    <t>82-Quebrada Santa Elena</t>
  </si>
  <si>
    <t>83-Quebrada Santa Elena</t>
  </si>
  <si>
    <t>84-Quebrada La presidenta</t>
  </si>
  <si>
    <t>85-Quebrada La presidenta</t>
  </si>
  <si>
    <t>86-Quebrada La presidenta</t>
  </si>
  <si>
    <t>87-Quebrada La Iguana</t>
  </si>
  <si>
    <t>88-Quebrada La Hueso</t>
  </si>
  <si>
    <t>89-Quebrada La Hueso</t>
  </si>
  <si>
    <t>90-Quebrada La Garcia</t>
  </si>
  <si>
    <t>91-Rio taparto</t>
  </si>
  <si>
    <t>92-Quebrada La Garcia</t>
  </si>
  <si>
    <t>93-Quebrada La Garcia</t>
  </si>
  <si>
    <t>94-Quebrada La Iguana</t>
  </si>
  <si>
    <t>95-Quebrada Santa Elena</t>
  </si>
  <si>
    <t>96-Quebrada La presidenta</t>
  </si>
  <si>
    <t>97-Quebrada La Hueso</t>
  </si>
  <si>
    <t>98-Quebrada Tinajas</t>
  </si>
  <si>
    <t>99-Quebrada La Ayura</t>
  </si>
  <si>
    <t>100-Quebrada La Ayura</t>
  </si>
  <si>
    <t>101-Quebrada Tinajas</t>
  </si>
  <si>
    <t>Area de la cuenca (mm^2)</t>
  </si>
  <si>
    <t>Area de la cuenca (m^2)</t>
  </si>
  <si>
    <t>1750000 </t>
  </si>
  <si>
    <t>(Sumatoria Dia 90)  vs Dia 1</t>
  </si>
  <si>
    <t>(Sumatoria Dia 60)  vs Dia 1</t>
  </si>
  <si>
    <t>(Sumatoria Dia 30)  vs Dia 1</t>
  </si>
  <si>
    <t>(Sumatoria Dia 10)  vs Dia 1</t>
  </si>
  <si>
    <t>A</t>
  </si>
  <si>
    <t>C</t>
  </si>
  <si>
    <t>B</t>
  </si>
  <si>
    <t>AFECTACIONES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</si>
</sst>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9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/>
    </xf>
    <xf numFmtId="14" fontId="18" fillId="35" borderId="10" xfId="0" applyNumberFormat="1" applyFont="1" applyFill="1" applyBorder="1" applyAlignment="1">
      <alignment horizontal="center" vertical="center"/>
    </xf>
    <xf numFmtId="14" fontId="20" fillId="35" borderId="10" xfId="0" applyNumberFormat="1" applyFont="1" applyFill="1" applyBorder="1" applyAlignment="1">
      <alignment horizontal="center" vertical="center" wrapText="1"/>
    </xf>
    <xf numFmtId="14" fontId="18" fillId="35" borderId="10" xfId="0" applyNumberFormat="1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4" fontId="21" fillId="0" borderId="10" xfId="0" applyNumberFormat="1" applyFont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top" wrapText="1"/>
    </xf>
    <xf numFmtId="2" fontId="21" fillId="0" borderId="10" xfId="0" applyNumberFormat="1" applyFont="1" applyBorder="1" applyAlignment="1">
      <alignment horizontal="center" vertical="center"/>
    </xf>
    <xf numFmtId="14" fontId="19" fillId="35" borderId="10" xfId="0" applyNumberFormat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'10 dias'!$B$16:$CY$16</c:f>
              <c:numCache>
                <c:formatCode>#,##0.00</c:formatCode>
                <c:ptCount val="102"/>
                <c:pt idx="0">
                  <c:v>380.86500000000001</c:v>
                </c:pt>
                <c:pt idx="1">
                  <c:v>21.017999999999997</c:v>
                </c:pt>
                <c:pt idx="2">
                  <c:v>9.2009999999999987</c:v>
                </c:pt>
                <c:pt idx="3">
                  <c:v>59.411000000000008</c:v>
                </c:pt>
                <c:pt idx="4">
                  <c:v>1.534</c:v>
                </c:pt>
                <c:pt idx="5">
                  <c:v>25.657</c:v>
                </c:pt>
                <c:pt idx="6">
                  <c:v>104.292</c:v>
                </c:pt>
                <c:pt idx="7">
                  <c:v>143.98799999999997</c:v>
                </c:pt>
                <c:pt idx="8">
                  <c:v>412.68799999999999</c:v>
                </c:pt>
                <c:pt idx="9">
                  <c:v>324.46100000000001</c:v>
                </c:pt>
                <c:pt idx="10">
                  <c:v>22.863999999999997</c:v>
                </c:pt>
                <c:pt idx="11">
                  <c:v>22.863999999999997</c:v>
                </c:pt>
                <c:pt idx="12">
                  <c:v>2.9990000000000006</c:v>
                </c:pt>
                <c:pt idx="13">
                  <c:v>3.2589999999999995</c:v>
                </c:pt>
                <c:pt idx="14">
                  <c:v>9.3230000000000004</c:v>
                </c:pt>
                <c:pt idx="15">
                  <c:v>16.220000000000002</c:v>
                </c:pt>
                <c:pt idx="16">
                  <c:v>0.11600000000000001</c:v>
                </c:pt>
                <c:pt idx="17">
                  <c:v>18.004999999999999</c:v>
                </c:pt>
                <c:pt idx="18">
                  <c:v>16.761999999999997</c:v>
                </c:pt>
                <c:pt idx="19">
                  <c:v>18.928000000000001</c:v>
                </c:pt>
                <c:pt idx="20">
                  <c:v>16.093</c:v>
                </c:pt>
                <c:pt idx="21">
                  <c:v>6.4170000000000007</c:v>
                </c:pt>
                <c:pt idx="22">
                  <c:v>5.8680000000000003</c:v>
                </c:pt>
                <c:pt idx="23">
                  <c:v>33.352000000000004</c:v>
                </c:pt>
                <c:pt idx="24">
                  <c:v>44.073999999999998</c:v>
                </c:pt>
                <c:pt idx="25">
                  <c:v>37.901000000000003</c:v>
                </c:pt>
                <c:pt idx="26">
                  <c:v>7.7740000000000009</c:v>
                </c:pt>
                <c:pt idx="27">
                  <c:v>74.784999999999997</c:v>
                </c:pt>
                <c:pt idx="28">
                  <c:v>174.73500000000001</c:v>
                </c:pt>
                <c:pt idx="29">
                  <c:v>72.310999999999993</c:v>
                </c:pt>
                <c:pt idx="30">
                  <c:v>77.753999999999991</c:v>
                </c:pt>
                <c:pt idx="31">
                  <c:v>6.7270000000000003</c:v>
                </c:pt>
                <c:pt idx="32">
                  <c:v>18.768999999999998</c:v>
                </c:pt>
                <c:pt idx="33">
                  <c:v>29.542000000000002</c:v>
                </c:pt>
                <c:pt idx="34">
                  <c:v>11.936999999999999</c:v>
                </c:pt>
                <c:pt idx="35">
                  <c:v>11.936999999999999</c:v>
                </c:pt>
                <c:pt idx="36">
                  <c:v>100.605</c:v>
                </c:pt>
                <c:pt idx="37">
                  <c:v>42.917999999999999</c:v>
                </c:pt>
                <c:pt idx="38">
                  <c:v>79.813999999999993</c:v>
                </c:pt>
                <c:pt idx="39">
                  <c:v>113.03900000000002</c:v>
                </c:pt>
                <c:pt idx="40">
                  <c:v>84.971999999999994</c:v>
                </c:pt>
                <c:pt idx="41">
                  <c:v>102.46000000000001</c:v>
                </c:pt>
                <c:pt idx="42">
                  <c:v>153.17099999999999</c:v>
                </c:pt>
                <c:pt idx="43">
                  <c:v>76.013000000000005</c:v>
                </c:pt>
                <c:pt idx="44">
                  <c:v>66.396999999999991</c:v>
                </c:pt>
                <c:pt idx="45">
                  <c:v>33.577999999999996</c:v>
                </c:pt>
                <c:pt idx="46">
                  <c:v>18.082000000000001</c:v>
                </c:pt>
                <c:pt idx="47">
                  <c:v>4.8879999999999999</c:v>
                </c:pt>
                <c:pt idx="48">
                  <c:v>23.059000000000001</c:v>
                </c:pt>
                <c:pt idx="49">
                  <c:v>129.57900000000001</c:v>
                </c:pt>
                <c:pt idx="50">
                  <c:v>10.644</c:v>
                </c:pt>
                <c:pt idx="51">
                  <c:v>7.883</c:v>
                </c:pt>
                <c:pt idx="52">
                  <c:v>6.8479999999999999</c:v>
                </c:pt>
                <c:pt idx="53">
                  <c:v>3.1849999999999996</c:v>
                </c:pt>
                <c:pt idx="54">
                  <c:v>13.632</c:v>
                </c:pt>
                <c:pt idx="55">
                  <c:v>25.624000000000002</c:v>
                </c:pt>
                <c:pt idx="56">
                  <c:v>23.923000000000005</c:v>
                </c:pt>
                <c:pt idx="57">
                  <c:v>16.536999999999999</c:v>
                </c:pt>
                <c:pt idx="58">
                  <c:v>37.802</c:v>
                </c:pt>
                <c:pt idx="59">
                  <c:v>34.241999999999997</c:v>
                </c:pt>
                <c:pt idx="60">
                  <c:v>23.146000000000001</c:v>
                </c:pt>
                <c:pt idx="61">
                  <c:v>56.203000000000003</c:v>
                </c:pt>
                <c:pt idx="62">
                  <c:v>109.809</c:v>
                </c:pt>
                <c:pt idx="63">
                  <c:v>166.38099999999997</c:v>
                </c:pt>
                <c:pt idx="64">
                  <c:v>132.31800000000001</c:v>
                </c:pt>
                <c:pt idx="65">
                  <c:v>186.27099999999999</c:v>
                </c:pt>
                <c:pt idx="66">
                  <c:v>52.579000000000008</c:v>
                </c:pt>
                <c:pt idx="67">
                  <c:v>8.3119999999999994</c:v>
                </c:pt>
                <c:pt idx="68">
                  <c:v>34.697000000000003</c:v>
                </c:pt>
                <c:pt idx="69">
                  <c:v>31.099999999999998</c:v>
                </c:pt>
                <c:pt idx="70">
                  <c:v>12.190000000000001</c:v>
                </c:pt>
                <c:pt idx="71">
                  <c:v>13.381</c:v>
                </c:pt>
                <c:pt idx="72">
                  <c:v>35.866999999999997</c:v>
                </c:pt>
                <c:pt idx="73">
                  <c:v>6.3839999999999995</c:v>
                </c:pt>
                <c:pt idx="74">
                  <c:v>1.891</c:v>
                </c:pt>
                <c:pt idx="75">
                  <c:v>40.837999999999994</c:v>
                </c:pt>
                <c:pt idx="76">
                  <c:v>178.94499999999999</c:v>
                </c:pt>
                <c:pt idx="77">
                  <c:v>158.239</c:v>
                </c:pt>
                <c:pt idx="78">
                  <c:v>54.143999999999998</c:v>
                </c:pt>
                <c:pt idx="79">
                  <c:v>145.56399999999999</c:v>
                </c:pt>
                <c:pt idx="80">
                  <c:v>101.92299999999999</c:v>
                </c:pt>
                <c:pt idx="81">
                  <c:v>151.63300000000001</c:v>
                </c:pt>
                <c:pt idx="82">
                  <c:v>125.429</c:v>
                </c:pt>
                <c:pt idx="83">
                  <c:v>39.589999999999996</c:v>
                </c:pt>
                <c:pt idx="84">
                  <c:v>27.465000000000003</c:v>
                </c:pt>
                <c:pt idx="85">
                  <c:v>21.511999999999997</c:v>
                </c:pt>
                <c:pt idx="86">
                  <c:v>53.205999999999996</c:v>
                </c:pt>
                <c:pt idx="87">
                  <c:v>37.624000000000002</c:v>
                </c:pt>
                <c:pt idx="88">
                  <c:v>29.247999999999998</c:v>
                </c:pt>
                <c:pt idx="89">
                  <c:v>23.488999999999997</c:v>
                </c:pt>
                <c:pt idx="90">
                  <c:v>62.461000000000006</c:v>
                </c:pt>
                <c:pt idx="91">
                  <c:v>28.889000000000003</c:v>
                </c:pt>
                <c:pt idx="92">
                  <c:v>15.880999999999998</c:v>
                </c:pt>
                <c:pt idx="93">
                  <c:v>218.53399999999999</c:v>
                </c:pt>
                <c:pt idx="94">
                  <c:v>131.179</c:v>
                </c:pt>
                <c:pt idx="95">
                  <c:v>26.722999999999999</c:v>
                </c:pt>
                <c:pt idx="96">
                  <c:v>19.079999999999998</c:v>
                </c:pt>
                <c:pt idx="97">
                  <c:v>3.9130000000000003</c:v>
                </c:pt>
                <c:pt idx="98">
                  <c:v>73.908999999999992</c:v>
                </c:pt>
                <c:pt idx="99">
                  <c:v>144.70799999999997</c:v>
                </c:pt>
                <c:pt idx="100">
                  <c:v>16.141999999999999</c:v>
                </c:pt>
                <c:pt idx="101">
                  <c:v>8.8299999999999983</c:v>
                </c:pt>
              </c:numCache>
            </c:numRef>
          </c:xVal>
          <c:yVal>
            <c:numRef>
              <c:f>'10 dias'!$B$3:$CY$3</c:f>
              <c:numCache>
                <c:formatCode>#,##0.00</c:formatCode>
                <c:ptCount val="102"/>
                <c:pt idx="0">
                  <c:v>52.642000000000003</c:v>
                </c:pt>
                <c:pt idx="1">
                  <c:v>2.4809999999999999</c:v>
                </c:pt>
                <c:pt idx="2">
                  <c:v>1.7969999999999999</c:v>
                </c:pt>
                <c:pt idx="3">
                  <c:v>3.129</c:v>
                </c:pt>
                <c:pt idx="4">
                  <c:v>1.3360000000000001</c:v>
                </c:pt>
                <c:pt idx="5">
                  <c:v>0</c:v>
                </c:pt>
                <c:pt idx="6">
                  <c:v>19.033000000000001</c:v>
                </c:pt>
                <c:pt idx="7">
                  <c:v>20.989000000000001</c:v>
                </c:pt>
                <c:pt idx="8">
                  <c:v>1.5669999999999999</c:v>
                </c:pt>
                <c:pt idx="9">
                  <c:v>30.74</c:v>
                </c:pt>
                <c:pt idx="10" formatCode="0.00">
                  <c:v>2.0379999999999998</c:v>
                </c:pt>
                <c:pt idx="11" formatCode="0.00">
                  <c:v>0</c:v>
                </c:pt>
                <c:pt idx="12" formatCode="0.00">
                  <c:v>0.32400000000000001</c:v>
                </c:pt>
                <c:pt idx="13" formatCode="0.00">
                  <c:v>0</c:v>
                </c:pt>
                <c:pt idx="14" formatCode="0.00">
                  <c:v>3.7829999999999999</c:v>
                </c:pt>
                <c:pt idx="15" formatCode="0.00">
                  <c:v>1.3620000000000001</c:v>
                </c:pt>
                <c:pt idx="16" formatCode="0.00">
                  <c:v>0.27500000000000002</c:v>
                </c:pt>
                <c:pt idx="17" formatCode="0.00">
                  <c:v>0</c:v>
                </c:pt>
                <c:pt idx="18" formatCode="0.00">
                  <c:v>1.7669999999999999</c:v>
                </c:pt>
                <c:pt idx="19" formatCode="0.00">
                  <c:v>3.738</c:v>
                </c:pt>
                <c:pt idx="20" formatCode="0.00">
                  <c:v>0</c:v>
                </c:pt>
                <c:pt idx="21" formatCode="0.00">
                  <c:v>1.218</c:v>
                </c:pt>
                <c:pt idx="22" formatCode="0.00">
                  <c:v>0.99399999999999999</c:v>
                </c:pt>
                <c:pt idx="23" formatCode="0.00">
                  <c:v>3.3719999999999999</c:v>
                </c:pt>
                <c:pt idx="24" formatCode="0.00">
                  <c:v>7.5869999999999997</c:v>
                </c:pt>
                <c:pt idx="25" formatCode="0.00">
                  <c:v>3.7919999999999998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17.318999999999999</c:v>
                </c:pt>
                <c:pt idx="29" formatCode="0.00">
                  <c:v>5.3780000000000001</c:v>
                </c:pt>
                <c:pt idx="30" formatCode="0.00">
                  <c:v>4.133</c:v>
                </c:pt>
                <c:pt idx="31" formatCode="0.00">
                  <c:v>0</c:v>
                </c:pt>
                <c:pt idx="32" formatCode="0.00">
                  <c:v>2.766</c:v>
                </c:pt>
                <c:pt idx="33" formatCode="0.00">
                  <c:v>3.5009999999999999</c:v>
                </c:pt>
                <c:pt idx="34" formatCode="0.00">
                  <c:v>0</c:v>
                </c:pt>
                <c:pt idx="35" formatCode="0.00">
                  <c:v>1.581</c:v>
                </c:pt>
                <c:pt idx="36" formatCode="0.00">
                  <c:v>16.193000000000001</c:v>
                </c:pt>
                <c:pt idx="37" formatCode="0.00">
                  <c:v>11.082000000000001</c:v>
                </c:pt>
                <c:pt idx="38" formatCode="0.00">
                  <c:v>2.2440000000000002</c:v>
                </c:pt>
                <c:pt idx="39" formatCode="0.00">
                  <c:v>21.922999999999998</c:v>
                </c:pt>
                <c:pt idx="40" formatCode="0.00">
                  <c:v>28.518000000000001</c:v>
                </c:pt>
                <c:pt idx="41">
                  <c:v>78.858000000000004</c:v>
                </c:pt>
                <c:pt idx="42">
                  <c:v>56.59</c:v>
                </c:pt>
                <c:pt idx="43">
                  <c:v>10.407999999999999</c:v>
                </c:pt>
                <c:pt idx="44">
                  <c:v>0</c:v>
                </c:pt>
                <c:pt idx="45">
                  <c:v>7.7839999999999998</c:v>
                </c:pt>
                <c:pt idx="46">
                  <c:v>0</c:v>
                </c:pt>
                <c:pt idx="47">
                  <c:v>0.249</c:v>
                </c:pt>
                <c:pt idx="48">
                  <c:v>1.9790000000000001</c:v>
                </c:pt>
                <c:pt idx="49">
                  <c:v>7.0709999999999997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3.7930000000000001</c:v>
                </c:pt>
                <c:pt idx="53" formatCode="0.00">
                  <c:v>0.32600000000000001</c:v>
                </c:pt>
                <c:pt idx="54" formatCode="0.00">
                  <c:v>1.518</c:v>
                </c:pt>
                <c:pt idx="55" formatCode="0.00">
                  <c:v>0</c:v>
                </c:pt>
                <c:pt idx="56" formatCode="0.00">
                  <c:v>7.9930000000000003</c:v>
                </c:pt>
                <c:pt idx="57" formatCode="0.00">
                  <c:v>3.246</c:v>
                </c:pt>
                <c:pt idx="58">
                  <c:v>3.9790000000000001</c:v>
                </c:pt>
                <c:pt idx="59">
                  <c:v>3.1259999999999999</c:v>
                </c:pt>
                <c:pt idx="60">
                  <c:v>6.5289999999999999</c:v>
                </c:pt>
                <c:pt idx="61" formatCode="0.00">
                  <c:v>23.082999999999998</c:v>
                </c:pt>
                <c:pt idx="62" formatCode="0.00">
                  <c:v>7.6239999999999997</c:v>
                </c:pt>
                <c:pt idx="63" formatCode="0.00">
                  <c:v>9.9640000000000004</c:v>
                </c:pt>
                <c:pt idx="64" formatCode="0.00">
                  <c:v>0</c:v>
                </c:pt>
                <c:pt idx="65" formatCode="0.00">
                  <c:v>19.443000000000001</c:v>
                </c:pt>
                <c:pt idx="66" formatCode="0.00">
                  <c:v>20.969000000000001</c:v>
                </c:pt>
                <c:pt idx="67">
                  <c:v>0.51100000000000001</c:v>
                </c:pt>
                <c:pt idx="68">
                  <c:v>0</c:v>
                </c:pt>
                <c:pt idx="69">
                  <c:v>6.3369999999999997</c:v>
                </c:pt>
                <c:pt idx="70">
                  <c:v>2.57</c:v>
                </c:pt>
                <c:pt idx="71">
                  <c:v>6.8780000000000001</c:v>
                </c:pt>
                <c:pt idx="72">
                  <c:v>9.5510000000000002</c:v>
                </c:pt>
                <c:pt idx="73" formatCode="0.00">
                  <c:v>1.282</c:v>
                </c:pt>
                <c:pt idx="74" formatCode="0.00">
                  <c:v>0.72499999999999998</c:v>
                </c:pt>
                <c:pt idx="75" formatCode="0.00">
                  <c:v>11.21</c:v>
                </c:pt>
                <c:pt idx="76" formatCode="0.00">
                  <c:v>11.932</c:v>
                </c:pt>
                <c:pt idx="77" formatCode="0.00">
                  <c:v>27.19</c:v>
                </c:pt>
                <c:pt idx="78" formatCode="0.00">
                  <c:v>20.02</c:v>
                </c:pt>
                <c:pt idx="79" formatCode="0.00">
                  <c:v>0.82099999999999995</c:v>
                </c:pt>
                <c:pt idx="80" formatCode="0.00">
                  <c:v>6.8869999999999996</c:v>
                </c:pt>
                <c:pt idx="81" formatCode="0.00">
                  <c:v>19.381</c:v>
                </c:pt>
                <c:pt idx="82" formatCode="0.00">
                  <c:v>11.211</c:v>
                </c:pt>
                <c:pt idx="83" formatCode="0.00">
                  <c:v>2.4220000000000002</c:v>
                </c:pt>
                <c:pt idx="84" formatCode="0.00">
                  <c:v>1.6779999999999999</c:v>
                </c:pt>
                <c:pt idx="85" formatCode="0.00">
                  <c:v>7.1840000000000002</c:v>
                </c:pt>
                <c:pt idx="86" formatCode="0.00">
                  <c:v>2.9020000000000001</c:v>
                </c:pt>
                <c:pt idx="87" formatCode="0.00">
                  <c:v>2.782</c:v>
                </c:pt>
                <c:pt idx="88" formatCode="0.00">
                  <c:v>5.61</c:v>
                </c:pt>
                <c:pt idx="89" formatCode="0.00">
                  <c:v>2.2050000000000001</c:v>
                </c:pt>
                <c:pt idx="90" formatCode="0.00">
                  <c:v>12.443</c:v>
                </c:pt>
                <c:pt idx="91" formatCode="0.00">
                  <c:v>6.3630000000000004</c:v>
                </c:pt>
                <c:pt idx="92" formatCode="0.00">
                  <c:v>1.5629999999999999</c:v>
                </c:pt>
                <c:pt idx="93" formatCode="0.00">
                  <c:v>4.7270000000000003</c:v>
                </c:pt>
                <c:pt idx="94">
                  <c:v>43.752000000000002</c:v>
                </c:pt>
                <c:pt idx="95">
                  <c:v>3.1459999999999999</c:v>
                </c:pt>
                <c:pt idx="96">
                  <c:v>4.4379999999999997</c:v>
                </c:pt>
                <c:pt idx="97">
                  <c:v>1.665</c:v>
                </c:pt>
                <c:pt idx="98">
                  <c:v>5.6920000000000002</c:v>
                </c:pt>
                <c:pt idx="99">
                  <c:v>12.939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D-47B9-9357-55A4B3ECA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79360"/>
        <c:axId val="74877568"/>
      </c:scatterChart>
      <c:valAx>
        <c:axId val="7487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Sumatoria</a:t>
                </a:r>
                <a:r>
                  <a:rPr lang="es-ES" baseline="0"/>
                  <a:t> Dia 11</a:t>
                </a:r>
                <a:endParaRPr lang="es-E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74877568"/>
        <c:crosses val="autoZero"/>
        <c:crossBetween val="midCat"/>
      </c:valAx>
      <c:valAx>
        <c:axId val="74877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Precipitacion</a:t>
                </a:r>
                <a:r>
                  <a:rPr lang="es-ES" baseline="0"/>
                  <a:t> Dia 1</a:t>
                </a:r>
                <a:endParaRPr lang="es-E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74879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'30 dias'!$C$37:$CZ$37</c:f>
              <c:numCache>
                <c:formatCode>#,##0.00</c:formatCode>
                <c:ptCount val="102"/>
                <c:pt idx="0">
                  <c:v>1067.2619999999999</c:v>
                </c:pt>
                <c:pt idx="1">
                  <c:v>84.028999999999982</c:v>
                </c:pt>
                <c:pt idx="2">
                  <c:v>19.490000000000002</c:v>
                </c:pt>
                <c:pt idx="3">
                  <c:v>96.09</c:v>
                </c:pt>
                <c:pt idx="4">
                  <c:v>9.3680000000000003</c:v>
                </c:pt>
                <c:pt idx="5">
                  <c:v>114.23500000000001</c:v>
                </c:pt>
                <c:pt idx="6">
                  <c:v>277.846</c:v>
                </c:pt>
                <c:pt idx="7">
                  <c:v>322.56799999999998</c:v>
                </c:pt>
                <c:pt idx="8">
                  <c:v>777.71500000000003</c:v>
                </c:pt>
                <c:pt idx="9">
                  <c:v>674.43399999999986</c:v>
                </c:pt>
                <c:pt idx="10">
                  <c:v>68.524000000000015</c:v>
                </c:pt>
                <c:pt idx="11">
                  <c:v>68.524000000000015</c:v>
                </c:pt>
                <c:pt idx="12">
                  <c:v>10.847000000000003</c:v>
                </c:pt>
                <c:pt idx="13">
                  <c:v>6.3989999999999991</c:v>
                </c:pt>
                <c:pt idx="14">
                  <c:v>40.328999999999994</c:v>
                </c:pt>
                <c:pt idx="15">
                  <c:v>52.628000000000007</c:v>
                </c:pt>
                <c:pt idx="16">
                  <c:v>7.5550000000000006</c:v>
                </c:pt>
                <c:pt idx="17">
                  <c:v>46.564999999999998</c:v>
                </c:pt>
                <c:pt idx="18">
                  <c:v>56.583999999999996</c:v>
                </c:pt>
                <c:pt idx="19">
                  <c:v>43.28799999999999</c:v>
                </c:pt>
                <c:pt idx="20">
                  <c:v>49.125</c:v>
                </c:pt>
                <c:pt idx="21">
                  <c:v>20</c:v>
                </c:pt>
                <c:pt idx="22">
                  <c:v>16.21</c:v>
                </c:pt>
                <c:pt idx="23">
                  <c:v>99.091999999999999</c:v>
                </c:pt>
                <c:pt idx="24">
                  <c:v>150.18300000000002</c:v>
                </c:pt>
                <c:pt idx="25">
                  <c:v>210.38899999999995</c:v>
                </c:pt>
                <c:pt idx="26">
                  <c:v>13.880000000000003</c:v>
                </c:pt>
                <c:pt idx="27">
                  <c:v>150.10600000000002</c:v>
                </c:pt>
                <c:pt idx="28">
                  <c:v>363.70300000000009</c:v>
                </c:pt>
                <c:pt idx="29">
                  <c:v>172.35399999999996</c:v>
                </c:pt>
                <c:pt idx="30">
                  <c:v>215.43899999999996</c:v>
                </c:pt>
                <c:pt idx="31">
                  <c:v>20.414999999999999</c:v>
                </c:pt>
                <c:pt idx="32">
                  <c:v>73.667000000000016</c:v>
                </c:pt>
                <c:pt idx="33">
                  <c:v>80.122000000000028</c:v>
                </c:pt>
                <c:pt idx="34">
                  <c:v>32.693999999999996</c:v>
                </c:pt>
                <c:pt idx="35">
                  <c:v>32.693999999999996</c:v>
                </c:pt>
                <c:pt idx="36">
                  <c:v>241.077</c:v>
                </c:pt>
                <c:pt idx="37">
                  <c:v>102.25800000000001</c:v>
                </c:pt>
                <c:pt idx="38">
                  <c:v>183.06699999999998</c:v>
                </c:pt>
                <c:pt idx="39">
                  <c:v>278.803</c:v>
                </c:pt>
                <c:pt idx="40">
                  <c:v>317.50600000000003</c:v>
                </c:pt>
                <c:pt idx="41">
                  <c:v>302.77400000000006</c:v>
                </c:pt>
                <c:pt idx="42">
                  <c:v>404.08499999999992</c:v>
                </c:pt>
                <c:pt idx="43">
                  <c:v>209.93999999999994</c:v>
                </c:pt>
                <c:pt idx="44">
                  <c:v>174.20499999999998</c:v>
                </c:pt>
                <c:pt idx="45">
                  <c:v>117.88599999999998</c:v>
                </c:pt>
                <c:pt idx="46">
                  <c:v>89.774000000000015</c:v>
                </c:pt>
                <c:pt idx="47">
                  <c:v>9.724000000000002</c:v>
                </c:pt>
                <c:pt idx="48">
                  <c:v>44.969000000000001</c:v>
                </c:pt>
                <c:pt idx="49">
                  <c:v>283.36200000000002</c:v>
                </c:pt>
                <c:pt idx="50">
                  <c:v>29.950999999999993</c:v>
                </c:pt>
                <c:pt idx="51">
                  <c:v>15.596</c:v>
                </c:pt>
                <c:pt idx="52">
                  <c:v>21.075999999999997</c:v>
                </c:pt>
                <c:pt idx="53">
                  <c:v>7.1579999999999986</c:v>
                </c:pt>
                <c:pt idx="54">
                  <c:v>25.051000000000002</c:v>
                </c:pt>
                <c:pt idx="55">
                  <c:v>58.563999999999993</c:v>
                </c:pt>
                <c:pt idx="56">
                  <c:v>67.239000000000019</c:v>
                </c:pt>
                <c:pt idx="57">
                  <c:v>47.718000000000004</c:v>
                </c:pt>
                <c:pt idx="58">
                  <c:v>90.324000000000012</c:v>
                </c:pt>
                <c:pt idx="59">
                  <c:v>59.846999999999994</c:v>
                </c:pt>
                <c:pt idx="60">
                  <c:v>89.572000000000017</c:v>
                </c:pt>
                <c:pt idx="61">
                  <c:v>176.453</c:v>
                </c:pt>
                <c:pt idx="62">
                  <c:v>311.13299999999998</c:v>
                </c:pt>
                <c:pt idx="63">
                  <c:v>326.51099999999997</c:v>
                </c:pt>
                <c:pt idx="64">
                  <c:v>309.30599999999998</c:v>
                </c:pt>
                <c:pt idx="65">
                  <c:v>447.8</c:v>
                </c:pt>
                <c:pt idx="66">
                  <c:v>276.798</c:v>
                </c:pt>
                <c:pt idx="67">
                  <c:v>25.872</c:v>
                </c:pt>
                <c:pt idx="68">
                  <c:v>77.168999999999997</c:v>
                </c:pt>
                <c:pt idx="69">
                  <c:v>76.177999999999997</c:v>
                </c:pt>
                <c:pt idx="70">
                  <c:v>52.452000000000005</c:v>
                </c:pt>
                <c:pt idx="71">
                  <c:v>69.283999999999992</c:v>
                </c:pt>
                <c:pt idx="72">
                  <c:v>77.658000000000015</c:v>
                </c:pt>
                <c:pt idx="73">
                  <c:v>14.773000000000001</c:v>
                </c:pt>
                <c:pt idx="74">
                  <c:v>9.7199999999999989</c:v>
                </c:pt>
                <c:pt idx="75">
                  <c:v>126.47099999999999</c:v>
                </c:pt>
                <c:pt idx="76">
                  <c:v>358.41099999999994</c:v>
                </c:pt>
                <c:pt idx="77">
                  <c:v>305.23600000000005</c:v>
                </c:pt>
                <c:pt idx="78">
                  <c:v>162.11599999999999</c:v>
                </c:pt>
                <c:pt idx="79">
                  <c:v>455.90299999999996</c:v>
                </c:pt>
                <c:pt idx="80">
                  <c:v>306.41300000000001</c:v>
                </c:pt>
                <c:pt idx="81">
                  <c:v>349.166</c:v>
                </c:pt>
                <c:pt idx="82">
                  <c:v>488.077</c:v>
                </c:pt>
                <c:pt idx="83">
                  <c:v>65.013999999999996</c:v>
                </c:pt>
                <c:pt idx="84">
                  <c:v>56.294000000000004</c:v>
                </c:pt>
                <c:pt idx="85">
                  <c:v>41.52600000000001</c:v>
                </c:pt>
                <c:pt idx="86">
                  <c:v>259.85100000000006</c:v>
                </c:pt>
                <c:pt idx="87">
                  <c:v>88.603999999999985</c:v>
                </c:pt>
                <c:pt idx="88">
                  <c:v>84.058999999999997</c:v>
                </c:pt>
                <c:pt idx="89">
                  <c:v>67.25800000000001</c:v>
                </c:pt>
                <c:pt idx="90">
                  <c:v>166.95600000000002</c:v>
                </c:pt>
                <c:pt idx="91">
                  <c:v>86.469000000000023</c:v>
                </c:pt>
                <c:pt idx="92">
                  <c:v>60.960999999999999</c:v>
                </c:pt>
                <c:pt idx="93">
                  <c:v>374.85200000000003</c:v>
                </c:pt>
                <c:pt idx="94">
                  <c:v>217.726</c:v>
                </c:pt>
                <c:pt idx="95">
                  <c:v>63.135000000000012</c:v>
                </c:pt>
                <c:pt idx="96">
                  <c:v>67.867000000000004</c:v>
                </c:pt>
                <c:pt idx="97">
                  <c:v>20.965</c:v>
                </c:pt>
                <c:pt idx="98">
                  <c:v>140.82399999999998</c:v>
                </c:pt>
                <c:pt idx="99">
                  <c:v>358.8359999999999</c:v>
                </c:pt>
                <c:pt idx="100">
                  <c:v>28.978000000000002</c:v>
                </c:pt>
                <c:pt idx="101">
                  <c:v>23.244</c:v>
                </c:pt>
              </c:numCache>
            </c:numRef>
          </c:xVal>
          <c:yVal>
            <c:numRef>
              <c:f>'30 dias'!$C$5:$CZ$5</c:f>
              <c:numCache>
                <c:formatCode>#,##0.00</c:formatCode>
                <c:ptCount val="102"/>
                <c:pt idx="0">
                  <c:v>52.642000000000003</c:v>
                </c:pt>
                <c:pt idx="1">
                  <c:v>2.4809999999999999</c:v>
                </c:pt>
                <c:pt idx="2">
                  <c:v>1.7969999999999999</c:v>
                </c:pt>
                <c:pt idx="3">
                  <c:v>3.129</c:v>
                </c:pt>
                <c:pt idx="4">
                  <c:v>1.3360000000000001</c:v>
                </c:pt>
                <c:pt idx="5">
                  <c:v>0</c:v>
                </c:pt>
                <c:pt idx="6">
                  <c:v>19.033000000000001</c:v>
                </c:pt>
                <c:pt idx="7">
                  <c:v>20.989000000000001</c:v>
                </c:pt>
                <c:pt idx="8">
                  <c:v>1.5669999999999999</c:v>
                </c:pt>
                <c:pt idx="9">
                  <c:v>30.74</c:v>
                </c:pt>
                <c:pt idx="10" formatCode="0.00">
                  <c:v>2.0379999999999998</c:v>
                </c:pt>
                <c:pt idx="11" formatCode="0.00">
                  <c:v>0</c:v>
                </c:pt>
                <c:pt idx="12" formatCode="0.00">
                  <c:v>0.32400000000000001</c:v>
                </c:pt>
                <c:pt idx="13" formatCode="0.00">
                  <c:v>0</c:v>
                </c:pt>
                <c:pt idx="14" formatCode="0.00">
                  <c:v>3.7829999999999999</c:v>
                </c:pt>
                <c:pt idx="15" formatCode="0.00">
                  <c:v>1.3620000000000001</c:v>
                </c:pt>
                <c:pt idx="16" formatCode="0.00">
                  <c:v>0.27500000000000002</c:v>
                </c:pt>
                <c:pt idx="17" formatCode="0.00">
                  <c:v>0</c:v>
                </c:pt>
                <c:pt idx="18" formatCode="0.00">
                  <c:v>1.7669999999999999</c:v>
                </c:pt>
                <c:pt idx="19" formatCode="0.00">
                  <c:v>3.738</c:v>
                </c:pt>
                <c:pt idx="20" formatCode="0.00">
                  <c:v>0</c:v>
                </c:pt>
                <c:pt idx="21" formatCode="0.00">
                  <c:v>1.218</c:v>
                </c:pt>
                <c:pt idx="22" formatCode="0.00">
                  <c:v>0.99399999999999999</c:v>
                </c:pt>
                <c:pt idx="23" formatCode="0.00">
                  <c:v>3.3719999999999999</c:v>
                </c:pt>
                <c:pt idx="24" formatCode="0.00">
                  <c:v>7.5869999999999997</c:v>
                </c:pt>
                <c:pt idx="25" formatCode="0.00">
                  <c:v>3.7919999999999998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17.318999999999999</c:v>
                </c:pt>
                <c:pt idx="29" formatCode="0.00">
                  <c:v>5.3780000000000001</c:v>
                </c:pt>
                <c:pt idx="30" formatCode="0.00">
                  <c:v>4.133</c:v>
                </c:pt>
                <c:pt idx="31" formatCode="0.00">
                  <c:v>0</c:v>
                </c:pt>
                <c:pt idx="32" formatCode="0.00">
                  <c:v>2.766</c:v>
                </c:pt>
                <c:pt idx="33" formatCode="0.00">
                  <c:v>3.5009999999999999</c:v>
                </c:pt>
                <c:pt idx="34" formatCode="0.00">
                  <c:v>0</c:v>
                </c:pt>
                <c:pt idx="35" formatCode="0.00">
                  <c:v>1.581</c:v>
                </c:pt>
                <c:pt idx="36" formatCode="0.00">
                  <c:v>16.193000000000001</c:v>
                </c:pt>
                <c:pt idx="37" formatCode="0.00">
                  <c:v>11.082000000000001</c:v>
                </c:pt>
                <c:pt idx="38" formatCode="0.00">
                  <c:v>2.2440000000000002</c:v>
                </c:pt>
                <c:pt idx="39" formatCode="0.00">
                  <c:v>21.922999999999998</c:v>
                </c:pt>
                <c:pt idx="40" formatCode="0.00">
                  <c:v>28.518000000000001</c:v>
                </c:pt>
                <c:pt idx="41">
                  <c:v>78.858000000000004</c:v>
                </c:pt>
                <c:pt idx="42">
                  <c:v>56.59</c:v>
                </c:pt>
                <c:pt idx="43">
                  <c:v>10.407999999999999</c:v>
                </c:pt>
                <c:pt idx="44">
                  <c:v>0</c:v>
                </c:pt>
                <c:pt idx="45">
                  <c:v>7.7839999999999998</c:v>
                </c:pt>
                <c:pt idx="46">
                  <c:v>0</c:v>
                </c:pt>
                <c:pt idx="47">
                  <c:v>0.249</c:v>
                </c:pt>
                <c:pt idx="48">
                  <c:v>1.9790000000000001</c:v>
                </c:pt>
                <c:pt idx="49">
                  <c:v>7.0709999999999997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3.7930000000000001</c:v>
                </c:pt>
                <c:pt idx="53" formatCode="0.00">
                  <c:v>0.32600000000000001</c:v>
                </c:pt>
                <c:pt idx="54" formatCode="0.00">
                  <c:v>1.518</c:v>
                </c:pt>
                <c:pt idx="55" formatCode="0.00">
                  <c:v>0</c:v>
                </c:pt>
                <c:pt idx="56" formatCode="0.00">
                  <c:v>7.9930000000000003</c:v>
                </c:pt>
                <c:pt idx="57" formatCode="0.00">
                  <c:v>3.246</c:v>
                </c:pt>
                <c:pt idx="58">
                  <c:v>3.9790000000000001</c:v>
                </c:pt>
                <c:pt idx="59">
                  <c:v>3.1259999999999999</c:v>
                </c:pt>
                <c:pt idx="60">
                  <c:v>6.5289999999999999</c:v>
                </c:pt>
                <c:pt idx="61" formatCode="0.00">
                  <c:v>23.082999999999998</c:v>
                </c:pt>
                <c:pt idx="62" formatCode="0.00">
                  <c:v>7.6239999999999997</c:v>
                </c:pt>
                <c:pt idx="63" formatCode="0.00">
                  <c:v>9.9640000000000004</c:v>
                </c:pt>
                <c:pt idx="64" formatCode="0.00">
                  <c:v>0</c:v>
                </c:pt>
                <c:pt idx="65" formatCode="0.00">
                  <c:v>19.443000000000001</c:v>
                </c:pt>
                <c:pt idx="66" formatCode="0.00">
                  <c:v>20.969000000000001</c:v>
                </c:pt>
                <c:pt idx="67">
                  <c:v>0.51100000000000001</c:v>
                </c:pt>
                <c:pt idx="68">
                  <c:v>0</c:v>
                </c:pt>
                <c:pt idx="69">
                  <c:v>6.3369999999999997</c:v>
                </c:pt>
                <c:pt idx="70">
                  <c:v>2.57</c:v>
                </c:pt>
                <c:pt idx="71">
                  <c:v>6.8780000000000001</c:v>
                </c:pt>
                <c:pt idx="72">
                  <c:v>9.5510000000000002</c:v>
                </c:pt>
                <c:pt idx="73" formatCode="0.00">
                  <c:v>1.282</c:v>
                </c:pt>
                <c:pt idx="74" formatCode="0.00">
                  <c:v>0.72499999999999998</c:v>
                </c:pt>
                <c:pt idx="75" formatCode="0.00">
                  <c:v>11.21</c:v>
                </c:pt>
                <c:pt idx="76" formatCode="0.00">
                  <c:v>11.932</c:v>
                </c:pt>
                <c:pt idx="77" formatCode="0.00">
                  <c:v>27.19</c:v>
                </c:pt>
                <c:pt idx="78" formatCode="0.00">
                  <c:v>20.02</c:v>
                </c:pt>
                <c:pt idx="79" formatCode="0.00">
                  <c:v>0.82099999999999995</c:v>
                </c:pt>
                <c:pt idx="80" formatCode="0.00">
                  <c:v>6.8869999999999996</c:v>
                </c:pt>
                <c:pt idx="81" formatCode="0.00">
                  <c:v>19.381</c:v>
                </c:pt>
                <c:pt idx="82" formatCode="0.00">
                  <c:v>11.211</c:v>
                </c:pt>
                <c:pt idx="83" formatCode="0.00">
                  <c:v>2.4220000000000002</c:v>
                </c:pt>
                <c:pt idx="84" formatCode="0.00">
                  <c:v>1.6779999999999999</c:v>
                </c:pt>
                <c:pt idx="85" formatCode="0.00">
                  <c:v>7.1840000000000002</c:v>
                </c:pt>
                <c:pt idx="86" formatCode="0.00">
                  <c:v>2.9020000000000001</c:v>
                </c:pt>
                <c:pt idx="87" formatCode="0.00">
                  <c:v>2.782</c:v>
                </c:pt>
                <c:pt idx="88" formatCode="0.00">
                  <c:v>5.61</c:v>
                </c:pt>
                <c:pt idx="89" formatCode="0.00">
                  <c:v>2.2050000000000001</c:v>
                </c:pt>
                <c:pt idx="90" formatCode="0.00">
                  <c:v>12.443</c:v>
                </c:pt>
                <c:pt idx="91" formatCode="0.00">
                  <c:v>6.3630000000000004</c:v>
                </c:pt>
                <c:pt idx="92" formatCode="0.00">
                  <c:v>1.5629999999999999</c:v>
                </c:pt>
                <c:pt idx="93" formatCode="0.00">
                  <c:v>4.7270000000000003</c:v>
                </c:pt>
                <c:pt idx="94">
                  <c:v>43.752000000000002</c:v>
                </c:pt>
                <c:pt idx="95">
                  <c:v>3.1459999999999999</c:v>
                </c:pt>
                <c:pt idx="96">
                  <c:v>4.4379999999999997</c:v>
                </c:pt>
                <c:pt idx="97">
                  <c:v>1.665</c:v>
                </c:pt>
                <c:pt idx="98">
                  <c:v>5.6920000000000002</c:v>
                </c:pt>
                <c:pt idx="99">
                  <c:v>12.939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E-4A2C-9F8B-B049A4C0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26752"/>
        <c:axId val="117426048"/>
      </c:scatterChart>
      <c:valAx>
        <c:axId val="11922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Sumatoria</a:t>
                </a:r>
                <a:r>
                  <a:rPr lang="es-ES" baseline="0"/>
                  <a:t> Dia 30</a:t>
                </a:r>
                <a:endParaRPr lang="es-E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17426048"/>
        <c:crosses val="autoZero"/>
        <c:crossBetween val="midCat"/>
      </c:valAx>
      <c:valAx>
        <c:axId val="117426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Precipitacion</a:t>
                </a:r>
                <a:r>
                  <a:rPr lang="es-ES" baseline="0"/>
                  <a:t> Dia 1</a:t>
                </a:r>
                <a:endParaRPr lang="es-E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19226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'60 dias'!$C$67:$CZ$67</c:f>
              <c:numCache>
                <c:formatCode>#,##0.00</c:formatCode>
                <c:ptCount val="102"/>
                <c:pt idx="0">
                  <c:v>1722.2550000000003</c:v>
                </c:pt>
                <c:pt idx="1">
                  <c:v>162.50000000000006</c:v>
                </c:pt>
                <c:pt idx="2">
                  <c:v>43.442999999999998</c:v>
                </c:pt>
                <c:pt idx="3">
                  <c:v>221.08799999999999</c:v>
                </c:pt>
                <c:pt idx="4">
                  <c:v>14.215999999999999</c:v>
                </c:pt>
                <c:pt idx="5">
                  <c:v>340.86500000000001</c:v>
                </c:pt>
                <c:pt idx="6">
                  <c:v>487.22699999999998</c:v>
                </c:pt>
                <c:pt idx="7">
                  <c:v>554.16699999999992</c:v>
                </c:pt>
                <c:pt idx="8">
                  <c:v>1270.6209999999999</c:v>
                </c:pt>
                <c:pt idx="9">
                  <c:v>1370.6419999999998</c:v>
                </c:pt>
                <c:pt idx="10">
                  <c:v>122.21900000000001</c:v>
                </c:pt>
                <c:pt idx="11">
                  <c:v>125.108</c:v>
                </c:pt>
                <c:pt idx="12">
                  <c:v>21.066000000000006</c:v>
                </c:pt>
                <c:pt idx="13">
                  <c:v>10.845000000000004</c:v>
                </c:pt>
                <c:pt idx="14">
                  <c:v>84.889999999999986</c:v>
                </c:pt>
                <c:pt idx="15">
                  <c:v>122.92400000000004</c:v>
                </c:pt>
                <c:pt idx="16">
                  <c:v>19.066000000000003</c:v>
                </c:pt>
                <c:pt idx="17">
                  <c:v>93.617000000000004</c:v>
                </c:pt>
                <c:pt idx="18">
                  <c:v>119.77300000000001</c:v>
                </c:pt>
                <c:pt idx="19">
                  <c:v>93.282999999999987</c:v>
                </c:pt>
                <c:pt idx="20">
                  <c:v>93.344000000000023</c:v>
                </c:pt>
                <c:pt idx="21">
                  <c:v>24.63</c:v>
                </c:pt>
                <c:pt idx="22">
                  <c:v>31.91500000000001</c:v>
                </c:pt>
                <c:pt idx="23">
                  <c:v>157.82599999999999</c:v>
                </c:pt>
                <c:pt idx="24">
                  <c:v>249.965</c:v>
                </c:pt>
                <c:pt idx="25">
                  <c:v>386.43499999999995</c:v>
                </c:pt>
                <c:pt idx="26">
                  <c:v>20.139000000000003</c:v>
                </c:pt>
                <c:pt idx="27">
                  <c:v>211.06299999999999</c:v>
                </c:pt>
                <c:pt idx="28">
                  <c:v>765.47799999999995</c:v>
                </c:pt>
                <c:pt idx="29">
                  <c:v>282.77200000000005</c:v>
                </c:pt>
                <c:pt idx="30">
                  <c:v>323.30600000000004</c:v>
                </c:pt>
                <c:pt idx="31">
                  <c:v>40.528000000000006</c:v>
                </c:pt>
                <c:pt idx="32">
                  <c:v>239.06800000000004</c:v>
                </c:pt>
                <c:pt idx="33">
                  <c:v>179.35000000000005</c:v>
                </c:pt>
                <c:pt idx="34">
                  <c:v>61.647999999999996</c:v>
                </c:pt>
                <c:pt idx="35">
                  <c:v>61.647999999999996</c:v>
                </c:pt>
                <c:pt idx="36">
                  <c:v>394.28999999999996</c:v>
                </c:pt>
                <c:pt idx="37">
                  <c:v>191.24599999999998</c:v>
                </c:pt>
                <c:pt idx="38">
                  <c:v>356.51300000000003</c:v>
                </c:pt>
                <c:pt idx="39">
                  <c:v>507.58500000000004</c:v>
                </c:pt>
                <c:pt idx="40">
                  <c:v>605.79200000000014</c:v>
                </c:pt>
                <c:pt idx="41">
                  <c:v>664.74399999999991</c:v>
                </c:pt>
                <c:pt idx="42">
                  <c:v>943.08199999999999</c:v>
                </c:pt>
                <c:pt idx="43">
                  <c:v>415.67299999999983</c:v>
                </c:pt>
                <c:pt idx="44">
                  <c:v>320.81700000000001</c:v>
                </c:pt>
                <c:pt idx="45">
                  <c:v>213.60399999999996</c:v>
                </c:pt>
                <c:pt idx="46">
                  <c:v>165.21600000000004</c:v>
                </c:pt>
                <c:pt idx="47">
                  <c:v>15.056999999999999</c:v>
                </c:pt>
                <c:pt idx="48">
                  <c:v>73.555999999999997</c:v>
                </c:pt>
                <c:pt idx="49">
                  <c:v>430.16299999999978</c:v>
                </c:pt>
                <c:pt idx="50">
                  <c:v>44.376999999999988</c:v>
                </c:pt>
                <c:pt idx="51">
                  <c:v>37.47</c:v>
                </c:pt>
                <c:pt idx="52">
                  <c:v>49.155999999999999</c:v>
                </c:pt>
                <c:pt idx="53">
                  <c:v>13.587999999999996</c:v>
                </c:pt>
                <c:pt idx="54">
                  <c:v>44.964000000000006</c:v>
                </c:pt>
                <c:pt idx="55">
                  <c:v>84.802999999999997</c:v>
                </c:pt>
                <c:pt idx="56">
                  <c:v>117.73699999999999</c:v>
                </c:pt>
                <c:pt idx="57">
                  <c:v>102.371</c:v>
                </c:pt>
                <c:pt idx="58">
                  <c:v>177.11300000000003</c:v>
                </c:pt>
                <c:pt idx="59">
                  <c:v>107.29600000000001</c:v>
                </c:pt>
                <c:pt idx="60">
                  <c:v>144.02000000000004</c:v>
                </c:pt>
                <c:pt idx="61">
                  <c:v>309.12000000000006</c:v>
                </c:pt>
                <c:pt idx="62">
                  <c:v>499.55700000000002</c:v>
                </c:pt>
                <c:pt idx="63">
                  <c:v>781.41499999999996</c:v>
                </c:pt>
                <c:pt idx="64">
                  <c:v>459.30799999999999</c:v>
                </c:pt>
                <c:pt idx="65">
                  <c:v>628.03499999999974</c:v>
                </c:pt>
                <c:pt idx="66">
                  <c:v>743.05499999999995</c:v>
                </c:pt>
                <c:pt idx="67">
                  <c:v>45.02000000000001</c:v>
                </c:pt>
                <c:pt idx="68">
                  <c:v>152.67499999999998</c:v>
                </c:pt>
                <c:pt idx="69">
                  <c:v>152.63399999999999</c:v>
                </c:pt>
                <c:pt idx="70">
                  <c:v>96.00800000000001</c:v>
                </c:pt>
                <c:pt idx="71">
                  <c:v>114.64299999999997</c:v>
                </c:pt>
                <c:pt idx="72">
                  <c:v>167.15</c:v>
                </c:pt>
                <c:pt idx="73">
                  <c:v>23.490000000000006</c:v>
                </c:pt>
                <c:pt idx="74">
                  <c:v>16.217999999999996</c:v>
                </c:pt>
                <c:pt idx="75">
                  <c:v>295.97500000000002</c:v>
                </c:pt>
                <c:pt idx="76">
                  <c:v>664.97399999999993</c:v>
                </c:pt>
                <c:pt idx="77">
                  <c:v>482.72900000000004</c:v>
                </c:pt>
                <c:pt idx="78">
                  <c:v>242.827</c:v>
                </c:pt>
                <c:pt idx="79">
                  <c:v>789.20800000000008</c:v>
                </c:pt>
                <c:pt idx="80">
                  <c:v>614.37199999999996</c:v>
                </c:pt>
                <c:pt idx="81">
                  <c:v>670.18700000000013</c:v>
                </c:pt>
                <c:pt idx="82">
                  <c:v>861.57799999999986</c:v>
                </c:pt>
                <c:pt idx="83">
                  <c:v>147.82900000000004</c:v>
                </c:pt>
                <c:pt idx="84">
                  <c:v>111.45400000000002</c:v>
                </c:pt>
                <c:pt idx="85">
                  <c:v>72.406999999999996</c:v>
                </c:pt>
                <c:pt idx="86">
                  <c:v>525.80700000000013</c:v>
                </c:pt>
                <c:pt idx="87">
                  <c:v>167.17099999999999</c:v>
                </c:pt>
                <c:pt idx="88">
                  <c:v>180.26199999999997</c:v>
                </c:pt>
                <c:pt idx="89">
                  <c:v>126.75700000000002</c:v>
                </c:pt>
                <c:pt idx="90">
                  <c:v>234.95300000000003</c:v>
                </c:pt>
                <c:pt idx="91">
                  <c:v>142.32599999999999</c:v>
                </c:pt>
                <c:pt idx="92">
                  <c:v>109.28699999999996</c:v>
                </c:pt>
                <c:pt idx="93">
                  <c:v>733.03200000000015</c:v>
                </c:pt>
                <c:pt idx="94">
                  <c:v>352.15000000000009</c:v>
                </c:pt>
                <c:pt idx="95">
                  <c:v>119.75699999999999</c:v>
                </c:pt>
                <c:pt idx="96">
                  <c:v>105.55500000000001</c:v>
                </c:pt>
                <c:pt idx="97">
                  <c:v>34.889000000000003</c:v>
                </c:pt>
                <c:pt idx="98">
                  <c:v>247.42600000000002</c:v>
                </c:pt>
                <c:pt idx="99">
                  <c:v>664.47699999999986</c:v>
                </c:pt>
                <c:pt idx="100">
                  <c:v>63.615000000000023</c:v>
                </c:pt>
                <c:pt idx="101">
                  <c:v>38.666000000000004</c:v>
                </c:pt>
              </c:numCache>
            </c:numRef>
          </c:xVal>
          <c:yVal>
            <c:numRef>
              <c:f>'60 dias'!$C$5:$CZ$5</c:f>
              <c:numCache>
                <c:formatCode>#,##0.00</c:formatCode>
                <c:ptCount val="102"/>
                <c:pt idx="0">
                  <c:v>52.642000000000003</c:v>
                </c:pt>
                <c:pt idx="1">
                  <c:v>2.4809999999999999</c:v>
                </c:pt>
                <c:pt idx="2">
                  <c:v>1.7969999999999999</c:v>
                </c:pt>
                <c:pt idx="3">
                  <c:v>3.129</c:v>
                </c:pt>
                <c:pt idx="4">
                  <c:v>1.3360000000000001</c:v>
                </c:pt>
                <c:pt idx="5">
                  <c:v>0</c:v>
                </c:pt>
                <c:pt idx="6">
                  <c:v>19.033000000000001</c:v>
                </c:pt>
                <c:pt idx="7">
                  <c:v>20.989000000000001</c:v>
                </c:pt>
                <c:pt idx="8">
                  <c:v>1.5669999999999999</c:v>
                </c:pt>
                <c:pt idx="9">
                  <c:v>30.74</c:v>
                </c:pt>
                <c:pt idx="10" formatCode="0.00">
                  <c:v>2.0379999999999998</c:v>
                </c:pt>
                <c:pt idx="11" formatCode="0.00">
                  <c:v>0</c:v>
                </c:pt>
                <c:pt idx="12" formatCode="0.00">
                  <c:v>0.32400000000000001</c:v>
                </c:pt>
                <c:pt idx="13" formatCode="0.00">
                  <c:v>0</c:v>
                </c:pt>
                <c:pt idx="14" formatCode="0.00">
                  <c:v>3.7829999999999999</c:v>
                </c:pt>
                <c:pt idx="15" formatCode="0.00">
                  <c:v>1.3620000000000001</c:v>
                </c:pt>
                <c:pt idx="16" formatCode="0.00">
                  <c:v>0.27500000000000002</c:v>
                </c:pt>
                <c:pt idx="17" formatCode="0.00">
                  <c:v>0</c:v>
                </c:pt>
                <c:pt idx="18" formatCode="0.00">
                  <c:v>1.7669999999999999</c:v>
                </c:pt>
                <c:pt idx="19" formatCode="0.00">
                  <c:v>3.738</c:v>
                </c:pt>
                <c:pt idx="20" formatCode="0.00">
                  <c:v>0</c:v>
                </c:pt>
                <c:pt idx="21" formatCode="0.00">
                  <c:v>1.218</c:v>
                </c:pt>
                <c:pt idx="22" formatCode="0.00">
                  <c:v>0.99399999999999999</c:v>
                </c:pt>
                <c:pt idx="23" formatCode="0.00">
                  <c:v>3.3719999999999999</c:v>
                </c:pt>
                <c:pt idx="24" formatCode="0.00">
                  <c:v>7.5869999999999997</c:v>
                </c:pt>
                <c:pt idx="25" formatCode="0.00">
                  <c:v>3.7919999999999998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17.318999999999999</c:v>
                </c:pt>
                <c:pt idx="29" formatCode="0.00">
                  <c:v>5.3780000000000001</c:v>
                </c:pt>
                <c:pt idx="30" formatCode="0.00">
                  <c:v>4.133</c:v>
                </c:pt>
                <c:pt idx="31" formatCode="0.00">
                  <c:v>0</c:v>
                </c:pt>
                <c:pt idx="32" formatCode="0.00">
                  <c:v>2.766</c:v>
                </c:pt>
                <c:pt idx="33" formatCode="0.00">
                  <c:v>3.5009999999999999</c:v>
                </c:pt>
                <c:pt idx="34" formatCode="0.00">
                  <c:v>0</c:v>
                </c:pt>
                <c:pt idx="35" formatCode="0.00">
                  <c:v>1.581</c:v>
                </c:pt>
                <c:pt idx="36" formatCode="0.00">
                  <c:v>16.193000000000001</c:v>
                </c:pt>
                <c:pt idx="37" formatCode="0.00">
                  <c:v>11.082000000000001</c:v>
                </c:pt>
                <c:pt idx="38" formatCode="0.00">
                  <c:v>2.2440000000000002</c:v>
                </c:pt>
                <c:pt idx="39" formatCode="0.00">
                  <c:v>21.922999999999998</c:v>
                </c:pt>
                <c:pt idx="40" formatCode="0.00">
                  <c:v>28.518000000000001</c:v>
                </c:pt>
                <c:pt idx="41">
                  <c:v>78.858000000000004</c:v>
                </c:pt>
                <c:pt idx="42">
                  <c:v>56.59</c:v>
                </c:pt>
                <c:pt idx="43">
                  <c:v>10.407999999999999</c:v>
                </c:pt>
                <c:pt idx="44">
                  <c:v>0</c:v>
                </c:pt>
                <c:pt idx="45">
                  <c:v>7.7839999999999998</c:v>
                </c:pt>
                <c:pt idx="46">
                  <c:v>0</c:v>
                </c:pt>
                <c:pt idx="47">
                  <c:v>0.249</c:v>
                </c:pt>
                <c:pt idx="48">
                  <c:v>1.9790000000000001</c:v>
                </c:pt>
                <c:pt idx="49">
                  <c:v>7.0709999999999997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3.7930000000000001</c:v>
                </c:pt>
                <c:pt idx="53" formatCode="0.00">
                  <c:v>0.32600000000000001</c:v>
                </c:pt>
                <c:pt idx="54" formatCode="0.00">
                  <c:v>1.518</c:v>
                </c:pt>
                <c:pt idx="55" formatCode="0.00">
                  <c:v>0</c:v>
                </c:pt>
                <c:pt idx="56" formatCode="0.00">
                  <c:v>7.9930000000000003</c:v>
                </c:pt>
                <c:pt idx="57" formatCode="0.00">
                  <c:v>3.246</c:v>
                </c:pt>
                <c:pt idx="58">
                  <c:v>3.9790000000000001</c:v>
                </c:pt>
                <c:pt idx="59">
                  <c:v>3.1259999999999999</c:v>
                </c:pt>
                <c:pt idx="60">
                  <c:v>6.5289999999999999</c:v>
                </c:pt>
                <c:pt idx="61" formatCode="0.00">
                  <c:v>23.082999999999998</c:v>
                </c:pt>
                <c:pt idx="62" formatCode="0.00">
                  <c:v>7.6239999999999997</c:v>
                </c:pt>
                <c:pt idx="63" formatCode="0.00">
                  <c:v>9.9640000000000004</c:v>
                </c:pt>
                <c:pt idx="64" formatCode="0.00">
                  <c:v>0</c:v>
                </c:pt>
                <c:pt idx="65" formatCode="0.00">
                  <c:v>19.443000000000001</c:v>
                </c:pt>
                <c:pt idx="66" formatCode="0.00">
                  <c:v>20.969000000000001</c:v>
                </c:pt>
                <c:pt idx="67">
                  <c:v>0.51100000000000001</c:v>
                </c:pt>
                <c:pt idx="68">
                  <c:v>0</c:v>
                </c:pt>
                <c:pt idx="69">
                  <c:v>6.3369999999999997</c:v>
                </c:pt>
                <c:pt idx="70">
                  <c:v>2.57</c:v>
                </c:pt>
                <c:pt idx="71">
                  <c:v>6.8780000000000001</c:v>
                </c:pt>
                <c:pt idx="72">
                  <c:v>9.5510000000000002</c:v>
                </c:pt>
                <c:pt idx="73" formatCode="0.00">
                  <c:v>1.282</c:v>
                </c:pt>
                <c:pt idx="74" formatCode="0.00">
                  <c:v>0.72499999999999998</c:v>
                </c:pt>
                <c:pt idx="75" formatCode="0.00">
                  <c:v>11.21</c:v>
                </c:pt>
                <c:pt idx="76" formatCode="0.00">
                  <c:v>11.932</c:v>
                </c:pt>
                <c:pt idx="77" formatCode="0.00">
                  <c:v>27.19</c:v>
                </c:pt>
                <c:pt idx="78" formatCode="0.00">
                  <c:v>20.02</c:v>
                </c:pt>
                <c:pt idx="79" formatCode="0.00">
                  <c:v>0.82099999999999995</c:v>
                </c:pt>
                <c:pt idx="80" formatCode="0.00">
                  <c:v>6.8869999999999996</c:v>
                </c:pt>
                <c:pt idx="81" formatCode="0.00">
                  <c:v>19.381</c:v>
                </c:pt>
                <c:pt idx="82" formatCode="0.00">
                  <c:v>11.211</c:v>
                </c:pt>
                <c:pt idx="83" formatCode="0.00">
                  <c:v>2.4220000000000002</c:v>
                </c:pt>
                <c:pt idx="84" formatCode="0.00">
                  <c:v>1.6779999999999999</c:v>
                </c:pt>
                <c:pt idx="85" formatCode="0.00">
                  <c:v>7.1840000000000002</c:v>
                </c:pt>
                <c:pt idx="86" formatCode="0.00">
                  <c:v>2.9020000000000001</c:v>
                </c:pt>
                <c:pt idx="87" formatCode="0.00">
                  <c:v>2.782</c:v>
                </c:pt>
                <c:pt idx="88" formatCode="0.00">
                  <c:v>5.61</c:v>
                </c:pt>
                <c:pt idx="89" formatCode="0.00">
                  <c:v>2.2050000000000001</c:v>
                </c:pt>
                <c:pt idx="90" formatCode="0.00">
                  <c:v>12.443</c:v>
                </c:pt>
                <c:pt idx="91" formatCode="0.00">
                  <c:v>6.3630000000000004</c:v>
                </c:pt>
                <c:pt idx="92" formatCode="0.00">
                  <c:v>1.5629999999999999</c:v>
                </c:pt>
                <c:pt idx="93" formatCode="0.00">
                  <c:v>4.7270000000000003</c:v>
                </c:pt>
                <c:pt idx="94">
                  <c:v>43.752000000000002</c:v>
                </c:pt>
                <c:pt idx="95">
                  <c:v>3.1459999999999999</c:v>
                </c:pt>
                <c:pt idx="96">
                  <c:v>4.4379999999999997</c:v>
                </c:pt>
                <c:pt idx="97">
                  <c:v>1.665</c:v>
                </c:pt>
                <c:pt idx="98">
                  <c:v>5.6920000000000002</c:v>
                </c:pt>
                <c:pt idx="99">
                  <c:v>12.939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4-43E0-B8D1-EF48AA038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99072"/>
        <c:axId val="78896128"/>
      </c:scatterChart>
      <c:valAx>
        <c:axId val="78899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Sumatoria</a:t>
                </a:r>
                <a:r>
                  <a:rPr lang="es-ES" baseline="0"/>
                  <a:t> Dia 60</a:t>
                </a:r>
                <a:endParaRPr lang="es-E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78896128"/>
        <c:crosses val="autoZero"/>
        <c:crossBetween val="midCat"/>
      </c:valAx>
      <c:valAx>
        <c:axId val="78896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Precipitacion</a:t>
                </a:r>
                <a:r>
                  <a:rPr lang="es-ES" baseline="0"/>
                  <a:t> Dia 1</a:t>
                </a:r>
                <a:endParaRPr lang="es-E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788990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10986467524595"/>
          <c:y val="0.11599066860016448"/>
          <c:w val="0.77222399253064333"/>
          <c:h val="0.8206824367684920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'90 dias'!$B$95:$CY$95</c:f>
              <c:numCache>
                <c:formatCode>#,##0.00</c:formatCode>
                <c:ptCount val="102"/>
                <c:pt idx="0">
                  <c:v>2679.3279999999995</c:v>
                </c:pt>
                <c:pt idx="1">
                  <c:v>188.90600000000006</c:v>
                </c:pt>
                <c:pt idx="2">
                  <c:v>61.127000000000002</c:v>
                </c:pt>
                <c:pt idx="3">
                  <c:v>292.12000000000006</c:v>
                </c:pt>
                <c:pt idx="4">
                  <c:v>19.836999999999993</c:v>
                </c:pt>
                <c:pt idx="5">
                  <c:v>525.71699999999987</c:v>
                </c:pt>
                <c:pt idx="6">
                  <c:v>603.86199999999985</c:v>
                </c:pt>
                <c:pt idx="7">
                  <c:v>644.5849999999997</c:v>
                </c:pt>
                <c:pt idx="8">
                  <c:v>1584.404</c:v>
                </c:pt>
                <c:pt idx="9">
                  <c:v>1570.3219999999997</c:v>
                </c:pt>
                <c:pt idx="10">
                  <c:v>172.53200000000001</c:v>
                </c:pt>
                <c:pt idx="11">
                  <c:v>172.53200000000001</c:v>
                </c:pt>
                <c:pt idx="12">
                  <c:v>27.081000000000003</c:v>
                </c:pt>
                <c:pt idx="13">
                  <c:v>13.696999999999997</c:v>
                </c:pt>
                <c:pt idx="14">
                  <c:v>140.42599999999999</c:v>
                </c:pt>
                <c:pt idx="15">
                  <c:v>189.40200000000004</c:v>
                </c:pt>
                <c:pt idx="16">
                  <c:v>30.728999999999999</c:v>
                </c:pt>
                <c:pt idx="17">
                  <c:v>123.03499999999998</c:v>
                </c:pt>
                <c:pt idx="18">
                  <c:v>174.60400000000001</c:v>
                </c:pt>
                <c:pt idx="19">
                  <c:v>140.19600000000003</c:v>
                </c:pt>
                <c:pt idx="20">
                  <c:v>147.88800000000006</c:v>
                </c:pt>
                <c:pt idx="21">
                  <c:v>30.917999999999999</c:v>
                </c:pt>
                <c:pt idx="22">
                  <c:v>36.955000000000013</c:v>
                </c:pt>
                <c:pt idx="23">
                  <c:v>192.69899999999996</c:v>
                </c:pt>
                <c:pt idx="24">
                  <c:v>397.56200000000001</c:v>
                </c:pt>
                <c:pt idx="25">
                  <c:v>515.96799999999985</c:v>
                </c:pt>
                <c:pt idx="26">
                  <c:v>26.813000000000002</c:v>
                </c:pt>
                <c:pt idx="27">
                  <c:v>363.43499999999989</c:v>
                </c:pt>
                <c:pt idx="28">
                  <c:v>976.99799999999982</c:v>
                </c:pt>
                <c:pt idx="29">
                  <c:v>360.16899999999998</c:v>
                </c:pt>
                <c:pt idx="30">
                  <c:v>380.25900000000001</c:v>
                </c:pt>
                <c:pt idx="31">
                  <c:v>59.082000000000008</c:v>
                </c:pt>
                <c:pt idx="32">
                  <c:v>330.49900000000002</c:v>
                </c:pt>
                <c:pt idx="33">
                  <c:v>249.05900000000008</c:v>
                </c:pt>
                <c:pt idx="34">
                  <c:v>86.204999999999984</c:v>
                </c:pt>
                <c:pt idx="35">
                  <c:v>86.204999999999984</c:v>
                </c:pt>
                <c:pt idx="36">
                  <c:v>471.06600000000003</c:v>
                </c:pt>
                <c:pt idx="37">
                  <c:v>301.90899999999999</c:v>
                </c:pt>
                <c:pt idx="38">
                  <c:v>478.56200000000001</c:v>
                </c:pt>
                <c:pt idx="39">
                  <c:v>653.69100000000003</c:v>
                </c:pt>
                <c:pt idx="40">
                  <c:v>824.51900000000046</c:v>
                </c:pt>
                <c:pt idx="41">
                  <c:v>907.70900000000006</c:v>
                </c:pt>
                <c:pt idx="42">
                  <c:v>1306.0839999999998</c:v>
                </c:pt>
                <c:pt idx="43">
                  <c:v>511.43099999999987</c:v>
                </c:pt>
                <c:pt idx="44">
                  <c:v>338.87200000000001</c:v>
                </c:pt>
                <c:pt idx="45">
                  <c:v>317.06899999999996</c:v>
                </c:pt>
                <c:pt idx="46">
                  <c:v>320.20999999999998</c:v>
                </c:pt>
                <c:pt idx="47">
                  <c:v>23.695000000000004</c:v>
                </c:pt>
                <c:pt idx="48">
                  <c:v>104.77600000000001</c:v>
                </c:pt>
                <c:pt idx="49">
                  <c:v>461.09599999999966</c:v>
                </c:pt>
                <c:pt idx="50">
                  <c:v>66.524000000000015</c:v>
                </c:pt>
                <c:pt idx="51">
                  <c:v>47.726000000000013</c:v>
                </c:pt>
                <c:pt idx="52">
                  <c:v>61.38900000000001</c:v>
                </c:pt>
                <c:pt idx="53">
                  <c:v>19.150999999999996</c:v>
                </c:pt>
                <c:pt idx="54">
                  <c:v>60.311000000000007</c:v>
                </c:pt>
                <c:pt idx="55">
                  <c:v>130.23599999999999</c:v>
                </c:pt>
                <c:pt idx="56">
                  <c:v>170.09700000000007</c:v>
                </c:pt>
                <c:pt idx="57">
                  <c:v>148.35999999999996</c:v>
                </c:pt>
                <c:pt idx="58">
                  <c:v>258.76600000000008</c:v>
                </c:pt>
                <c:pt idx="59">
                  <c:v>140.96500000000003</c:v>
                </c:pt>
                <c:pt idx="60">
                  <c:v>187.49000000000004</c:v>
                </c:pt>
                <c:pt idx="61">
                  <c:v>440.14400000000012</c:v>
                </c:pt>
                <c:pt idx="62">
                  <c:v>661.22100000000012</c:v>
                </c:pt>
                <c:pt idx="63">
                  <c:v>1197.4559999999999</c:v>
                </c:pt>
                <c:pt idx="64">
                  <c:v>671.74400000000014</c:v>
                </c:pt>
                <c:pt idx="65">
                  <c:v>790.7059999999999</c:v>
                </c:pt>
                <c:pt idx="66">
                  <c:v>1068.9399999999998</c:v>
                </c:pt>
                <c:pt idx="67">
                  <c:v>59.733000000000011</c:v>
                </c:pt>
                <c:pt idx="68">
                  <c:v>219.56799999999996</c:v>
                </c:pt>
                <c:pt idx="69">
                  <c:v>223.42</c:v>
                </c:pt>
                <c:pt idx="70">
                  <c:v>140.81600000000003</c:v>
                </c:pt>
                <c:pt idx="71">
                  <c:v>151.52700000000002</c:v>
                </c:pt>
                <c:pt idx="72">
                  <c:v>259.69100000000003</c:v>
                </c:pt>
                <c:pt idx="73">
                  <c:v>36.352000000000004</c:v>
                </c:pt>
                <c:pt idx="74">
                  <c:v>20.046999999999993</c:v>
                </c:pt>
                <c:pt idx="75">
                  <c:v>516.41500000000008</c:v>
                </c:pt>
                <c:pt idx="76">
                  <c:v>1059.3889999999999</c:v>
                </c:pt>
                <c:pt idx="77">
                  <c:v>816.37500000000011</c:v>
                </c:pt>
                <c:pt idx="78">
                  <c:v>355.72100000000006</c:v>
                </c:pt>
                <c:pt idx="79">
                  <c:v>1106.2520000000002</c:v>
                </c:pt>
                <c:pt idx="80">
                  <c:v>1043.6469999999997</c:v>
                </c:pt>
                <c:pt idx="81">
                  <c:v>958.45500000000027</c:v>
                </c:pt>
                <c:pt idx="82">
                  <c:v>1325.9480000000001</c:v>
                </c:pt>
                <c:pt idx="83">
                  <c:v>212.43</c:v>
                </c:pt>
                <c:pt idx="84">
                  <c:v>174.55299999999994</c:v>
                </c:pt>
                <c:pt idx="85">
                  <c:v>104.446</c:v>
                </c:pt>
                <c:pt idx="86">
                  <c:v>745.00200000000007</c:v>
                </c:pt>
                <c:pt idx="87">
                  <c:v>230.24099999999999</c:v>
                </c:pt>
                <c:pt idx="88">
                  <c:v>255.84099999999995</c:v>
                </c:pt>
                <c:pt idx="89">
                  <c:v>174.07300000000009</c:v>
                </c:pt>
                <c:pt idx="90">
                  <c:v>395.50800000000015</c:v>
                </c:pt>
                <c:pt idx="91">
                  <c:v>178.23600000000002</c:v>
                </c:pt>
                <c:pt idx="92">
                  <c:v>132.07699999999997</c:v>
                </c:pt>
                <c:pt idx="93">
                  <c:v>860.24800000000027</c:v>
                </c:pt>
                <c:pt idx="94">
                  <c:v>450.05000000000007</c:v>
                </c:pt>
                <c:pt idx="95">
                  <c:v>127.43799999999999</c:v>
                </c:pt>
                <c:pt idx="96">
                  <c:v>119.53</c:v>
                </c:pt>
                <c:pt idx="97">
                  <c:v>46.887000000000008</c:v>
                </c:pt>
                <c:pt idx="98">
                  <c:v>336.67700000000002</c:v>
                </c:pt>
                <c:pt idx="99">
                  <c:v>698.89299999999992</c:v>
                </c:pt>
                <c:pt idx="100">
                  <c:v>75.406999999999996</c:v>
                </c:pt>
                <c:pt idx="101">
                  <c:v>41.015000000000008</c:v>
                </c:pt>
              </c:numCache>
            </c:numRef>
          </c:xVal>
          <c:yVal>
            <c:numRef>
              <c:f>'90 dias'!$B$3:$CY$3</c:f>
              <c:numCache>
                <c:formatCode>#,##0.00</c:formatCode>
                <c:ptCount val="102"/>
                <c:pt idx="0">
                  <c:v>52.642000000000003</c:v>
                </c:pt>
                <c:pt idx="1">
                  <c:v>2.4809999999999999</c:v>
                </c:pt>
                <c:pt idx="2">
                  <c:v>1.7969999999999999</c:v>
                </c:pt>
                <c:pt idx="3">
                  <c:v>3.129</c:v>
                </c:pt>
                <c:pt idx="4">
                  <c:v>1.3360000000000001</c:v>
                </c:pt>
                <c:pt idx="5">
                  <c:v>0</c:v>
                </c:pt>
                <c:pt idx="6">
                  <c:v>19.033000000000001</c:v>
                </c:pt>
                <c:pt idx="7">
                  <c:v>20.989000000000001</c:v>
                </c:pt>
                <c:pt idx="8">
                  <c:v>1.5669999999999999</c:v>
                </c:pt>
                <c:pt idx="9">
                  <c:v>30.74</c:v>
                </c:pt>
                <c:pt idx="10" formatCode="0.00">
                  <c:v>2.0379999999999998</c:v>
                </c:pt>
                <c:pt idx="11" formatCode="0.00">
                  <c:v>0</c:v>
                </c:pt>
                <c:pt idx="12" formatCode="0.00">
                  <c:v>0.32400000000000001</c:v>
                </c:pt>
                <c:pt idx="13" formatCode="0.00">
                  <c:v>0</c:v>
                </c:pt>
                <c:pt idx="14" formatCode="0.00">
                  <c:v>3.7829999999999999</c:v>
                </c:pt>
                <c:pt idx="15" formatCode="0.00">
                  <c:v>1.3620000000000001</c:v>
                </c:pt>
                <c:pt idx="16" formatCode="0.00">
                  <c:v>0.27500000000000002</c:v>
                </c:pt>
                <c:pt idx="17" formatCode="0.00">
                  <c:v>0</c:v>
                </c:pt>
                <c:pt idx="18" formatCode="0.00">
                  <c:v>1.7669999999999999</c:v>
                </c:pt>
                <c:pt idx="19" formatCode="0.00">
                  <c:v>3.738</c:v>
                </c:pt>
                <c:pt idx="20" formatCode="0.00">
                  <c:v>0</c:v>
                </c:pt>
                <c:pt idx="21" formatCode="0.00">
                  <c:v>1.218</c:v>
                </c:pt>
                <c:pt idx="22" formatCode="0.00">
                  <c:v>0.99399999999999999</c:v>
                </c:pt>
                <c:pt idx="23" formatCode="0.00">
                  <c:v>3.3719999999999999</c:v>
                </c:pt>
                <c:pt idx="24" formatCode="0.00">
                  <c:v>7.5869999999999997</c:v>
                </c:pt>
                <c:pt idx="25" formatCode="0.00">
                  <c:v>3.7919999999999998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17.318999999999999</c:v>
                </c:pt>
                <c:pt idx="29" formatCode="0.00">
                  <c:v>5.3780000000000001</c:v>
                </c:pt>
                <c:pt idx="30" formatCode="0.00">
                  <c:v>4.133</c:v>
                </c:pt>
                <c:pt idx="31" formatCode="0.00">
                  <c:v>0</c:v>
                </c:pt>
                <c:pt idx="32" formatCode="0.00">
                  <c:v>2.766</c:v>
                </c:pt>
                <c:pt idx="33" formatCode="0.00">
                  <c:v>3.5009999999999999</c:v>
                </c:pt>
                <c:pt idx="34" formatCode="0.00">
                  <c:v>0</c:v>
                </c:pt>
                <c:pt idx="35" formatCode="0.00">
                  <c:v>1.581</c:v>
                </c:pt>
                <c:pt idx="36" formatCode="0.00">
                  <c:v>16.193000000000001</c:v>
                </c:pt>
                <c:pt idx="37" formatCode="0.00">
                  <c:v>11.082000000000001</c:v>
                </c:pt>
                <c:pt idx="38" formatCode="0.00">
                  <c:v>2.2440000000000002</c:v>
                </c:pt>
                <c:pt idx="39" formatCode="0.00">
                  <c:v>21.922999999999998</c:v>
                </c:pt>
                <c:pt idx="40" formatCode="0.00">
                  <c:v>28.518000000000001</c:v>
                </c:pt>
                <c:pt idx="41">
                  <c:v>78.858000000000004</c:v>
                </c:pt>
                <c:pt idx="42">
                  <c:v>56.59</c:v>
                </c:pt>
                <c:pt idx="43">
                  <c:v>10.407999999999999</c:v>
                </c:pt>
                <c:pt idx="44">
                  <c:v>0</c:v>
                </c:pt>
                <c:pt idx="45">
                  <c:v>7.7839999999999998</c:v>
                </c:pt>
                <c:pt idx="46">
                  <c:v>0</c:v>
                </c:pt>
                <c:pt idx="47">
                  <c:v>0.249</c:v>
                </c:pt>
                <c:pt idx="48">
                  <c:v>1.9790000000000001</c:v>
                </c:pt>
                <c:pt idx="49">
                  <c:v>7.0709999999999997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3.7930000000000001</c:v>
                </c:pt>
                <c:pt idx="53" formatCode="0.00">
                  <c:v>0.32600000000000001</c:v>
                </c:pt>
                <c:pt idx="54" formatCode="0.00">
                  <c:v>1.518</c:v>
                </c:pt>
                <c:pt idx="55" formatCode="0.00">
                  <c:v>0</c:v>
                </c:pt>
                <c:pt idx="56" formatCode="0.00">
                  <c:v>7.9930000000000003</c:v>
                </c:pt>
                <c:pt idx="57" formatCode="0.00">
                  <c:v>3.246</c:v>
                </c:pt>
                <c:pt idx="58">
                  <c:v>3.9790000000000001</c:v>
                </c:pt>
                <c:pt idx="59">
                  <c:v>3.1259999999999999</c:v>
                </c:pt>
                <c:pt idx="60">
                  <c:v>6.5289999999999999</c:v>
                </c:pt>
                <c:pt idx="61" formatCode="0.00">
                  <c:v>23.082999999999998</c:v>
                </c:pt>
                <c:pt idx="62" formatCode="0.00">
                  <c:v>7.6239999999999997</c:v>
                </c:pt>
                <c:pt idx="63" formatCode="0.00">
                  <c:v>9.9640000000000004</c:v>
                </c:pt>
                <c:pt idx="64" formatCode="0.00">
                  <c:v>0</c:v>
                </c:pt>
                <c:pt idx="65" formatCode="0.00">
                  <c:v>19.443000000000001</c:v>
                </c:pt>
                <c:pt idx="66" formatCode="0.00">
                  <c:v>20.969000000000001</c:v>
                </c:pt>
                <c:pt idx="67">
                  <c:v>0.51100000000000001</c:v>
                </c:pt>
                <c:pt idx="68">
                  <c:v>0</c:v>
                </c:pt>
                <c:pt idx="69">
                  <c:v>6.3369999999999997</c:v>
                </c:pt>
                <c:pt idx="70">
                  <c:v>2.57</c:v>
                </c:pt>
                <c:pt idx="71">
                  <c:v>6.8780000000000001</c:v>
                </c:pt>
                <c:pt idx="72">
                  <c:v>9.5510000000000002</c:v>
                </c:pt>
                <c:pt idx="73" formatCode="0.00">
                  <c:v>1.282</c:v>
                </c:pt>
                <c:pt idx="74" formatCode="0.00">
                  <c:v>0.72499999999999998</c:v>
                </c:pt>
                <c:pt idx="75" formatCode="0.00">
                  <c:v>11.21</c:v>
                </c:pt>
                <c:pt idx="76" formatCode="0.00">
                  <c:v>11.932</c:v>
                </c:pt>
                <c:pt idx="77" formatCode="0.00">
                  <c:v>27.19</c:v>
                </c:pt>
                <c:pt idx="78" formatCode="0.00">
                  <c:v>20.02</c:v>
                </c:pt>
                <c:pt idx="79" formatCode="0.00">
                  <c:v>0.82099999999999995</c:v>
                </c:pt>
                <c:pt idx="80" formatCode="0.00">
                  <c:v>6.8869999999999996</c:v>
                </c:pt>
                <c:pt idx="81" formatCode="0.00">
                  <c:v>19.381</c:v>
                </c:pt>
                <c:pt idx="82" formatCode="0.00">
                  <c:v>11.211</c:v>
                </c:pt>
                <c:pt idx="83" formatCode="0.00">
                  <c:v>2.4220000000000002</c:v>
                </c:pt>
                <c:pt idx="84" formatCode="0.00">
                  <c:v>1.6779999999999999</c:v>
                </c:pt>
                <c:pt idx="85" formatCode="0.00">
                  <c:v>7.1840000000000002</c:v>
                </c:pt>
                <c:pt idx="86" formatCode="0.00">
                  <c:v>2.9020000000000001</c:v>
                </c:pt>
                <c:pt idx="87" formatCode="0.00">
                  <c:v>2.782</c:v>
                </c:pt>
                <c:pt idx="88" formatCode="0.00">
                  <c:v>5.61</c:v>
                </c:pt>
                <c:pt idx="89" formatCode="0.00">
                  <c:v>2.2050000000000001</c:v>
                </c:pt>
                <c:pt idx="90" formatCode="0.00">
                  <c:v>12.443</c:v>
                </c:pt>
                <c:pt idx="91" formatCode="0.00">
                  <c:v>6.3630000000000004</c:v>
                </c:pt>
                <c:pt idx="92" formatCode="0.00">
                  <c:v>1.5629999999999999</c:v>
                </c:pt>
                <c:pt idx="93" formatCode="0.00">
                  <c:v>4.7270000000000003</c:v>
                </c:pt>
                <c:pt idx="94">
                  <c:v>43.752000000000002</c:v>
                </c:pt>
                <c:pt idx="95">
                  <c:v>3.1459999999999999</c:v>
                </c:pt>
                <c:pt idx="96">
                  <c:v>4.4379999999999997</c:v>
                </c:pt>
                <c:pt idx="97">
                  <c:v>1.665</c:v>
                </c:pt>
                <c:pt idx="98">
                  <c:v>5.6920000000000002</c:v>
                </c:pt>
                <c:pt idx="99">
                  <c:v>12.939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D-4870-A34B-8BE0ABD87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65856"/>
        <c:axId val="101459840"/>
      </c:scatterChart>
      <c:valAx>
        <c:axId val="9186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Sumatoria</a:t>
                </a:r>
                <a:r>
                  <a:rPr lang="es-ES" baseline="0"/>
                  <a:t> Dia 90</a:t>
                </a:r>
                <a:endParaRPr lang="es-E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1459840"/>
        <c:crosses val="autoZero"/>
        <c:crossBetween val="midCat"/>
      </c:valAx>
      <c:valAx>
        <c:axId val="101459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Precipitacion</a:t>
                </a:r>
                <a:r>
                  <a:rPr lang="es-ES" baseline="0"/>
                  <a:t> Dia 1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918658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119061</xdr:rowOff>
    </xdr:from>
    <xdr:to>
      <xdr:col>8</xdr:col>
      <xdr:colOff>314325</xdr:colOff>
      <xdr:row>42</xdr:row>
      <xdr:rowOff>104774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37</xdr:row>
      <xdr:rowOff>90486</xdr:rowOff>
    </xdr:from>
    <xdr:to>
      <xdr:col>9</xdr:col>
      <xdr:colOff>352425</xdr:colOff>
      <xdr:row>60</xdr:row>
      <xdr:rowOff>190499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67</xdr:row>
      <xdr:rowOff>185737</xdr:rowOff>
    </xdr:from>
    <xdr:to>
      <xdr:col>10</xdr:col>
      <xdr:colOff>190500</xdr:colOff>
      <xdr:row>90</xdr:row>
      <xdr:rowOff>35719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107</xdr:row>
      <xdr:rowOff>119061</xdr:rowOff>
    </xdr:from>
    <xdr:to>
      <xdr:col>8</xdr:col>
      <xdr:colOff>238125</xdr:colOff>
      <xdr:row>128</xdr:row>
      <xdr:rowOff>180974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6"/>
  <sheetViews>
    <sheetView topLeftCell="A7" workbookViewId="0">
      <selection activeCell="C4" sqref="C4"/>
    </sheetView>
  </sheetViews>
  <sheetFormatPr baseColWidth="10" defaultRowHeight="15" x14ac:dyDescent="0.25"/>
  <cols>
    <col min="1" max="1" width="29.28515625" customWidth="1"/>
  </cols>
  <sheetData>
    <row r="1" spans="1:103" ht="33.75" x14ac:dyDescent="0.25">
      <c r="A1" s="1" t="s">
        <v>0</v>
      </c>
      <c r="B1" s="4" t="s">
        <v>1</v>
      </c>
      <c r="C1" s="1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129</v>
      </c>
      <c r="AG1" s="4" t="s">
        <v>130</v>
      </c>
      <c r="AH1" s="4" t="s">
        <v>131</v>
      </c>
      <c r="AI1" s="4" t="s">
        <v>132</v>
      </c>
      <c r="AJ1" s="4" t="s">
        <v>133</v>
      </c>
      <c r="AK1" s="4" t="s">
        <v>134</v>
      </c>
      <c r="AL1" s="4" t="s">
        <v>135</v>
      </c>
      <c r="AM1" s="4" t="s">
        <v>136</v>
      </c>
      <c r="AN1" s="4" t="s">
        <v>138</v>
      </c>
      <c r="AO1" s="4" t="s">
        <v>139</v>
      </c>
      <c r="AP1" s="4" t="s">
        <v>140</v>
      </c>
      <c r="AQ1" s="4" t="s">
        <v>141</v>
      </c>
      <c r="AR1" s="4" t="s">
        <v>142</v>
      </c>
      <c r="AS1" s="4" t="s">
        <v>143</v>
      </c>
      <c r="AT1" s="4" t="s">
        <v>144</v>
      </c>
      <c r="AU1" s="4" t="s">
        <v>145</v>
      </c>
      <c r="AV1" s="4" t="s">
        <v>146</v>
      </c>
      <c r="AW1" s="4" t="s">
        <v>147</v>
      </c>
      <c r="AX1" s="4" t="s">
        <v>148</v>
      </c>
      <c r="AY1" s="4" t="s">
        <v>149</v>
      </c>
      <c r="AZ1" s="4" t="s">
        <v>150</v>
      </c>
      <c r="BA1" s="4" t="s">
        <v>151</v>
      </c>
      <c r="BB1" s="4" t="s">
        <v>152</v>
      </c>
      <c r="BC1" s="4" t="s">
        <v>153</v>
      </c>
      <c r="BD1" s="4" t="s">
        <v>154</v>
      </c>
      <c r="BE1" s="4" t="s">
        <v>155</v>
      </c>
      <c r="BF1" s="4" t="s">
        <v>156</v>
      </c>
      <c r="BG1" s="4" t="s">
        <v>157</v>
      </c>
      <c r="BH1" s="4" t="s">
        <v>158</v>
      </c>
      <c r="BI1" s="4" t="s">
        <v>159</v>
      </c>
      <c r="BJ1" s="4" t="s">
        <v>160</v>
      </c>
      <c r="BK1" s="4" t="s">
        <v>161</v>
      </c>
      <c r="BL1" s="4" t="s">
        <v>162</v>
      </c>
      <c r="BM1" s="4" t="s">
        <v>163</v>
      </c>
      <c r="BN1" s="4" t="s">
        <v>164</v>
      </c>
      <c r="BO1" s="4" t="s">
        <v>165</v>
      </c>
      <c r="BP1" s="4" t="s">
        <v>166</v>
      </c>
      <c r="BQ1" s="4" t="s">
        <v>167</v>
      </c>
      <c r="BR1" s="3" t="s">
        <v>168</v>
      </c>
      <c r="BS1" s="3" t="s">
        <v>169</v>
      </c>
      <c r="BT1" s="3" t="s">
        <v>170</v>
      </c>
      <c r="BU1" s="3" t="s">
        <v>171</v>
      </c>
      <c r="BV1" s="3" t="s">
        <v>172</v>
      </c>
      <c r="BW1" s="4" t="s">
        <v>173</v>
      </c>
      <c r="BX1" s="4" t="s">
        <v>174</v>
      </c>
      <c r="BY1" s="4" t="s">
        <v>175</v>
      </c>
      <c r="BZ1" s="4" t="s">
        <v>176</v>
      </c>
      <c r="CA1" s="4" t="s">
        <v>177</v>
      </c>
      <c r="CB1" s="4" t="s">
        <v>178</v>
      </c>
      <c r="CC1" s="4" t="s">
        <v>179</v>
      </c>
      <c r="CD1" s="4" t="s">
        <v>180</v>
      </c>
      <c r="CE1" s="4" t="s">
        <v>181</v>
      </c>
      <c r="CF1" s="4" t="s">
        <v>182</v>
      </c>
      <c r="CG1" s="3" t="s">
        <v>183</v>
      </c>
      <c r="CH1" s="3" t="s">
        <v>184</v>
      </c>
      <c r="CI1" s="3" t="s">
        <v>185</v>
      </c>
      <c r="CJ1" s="4" t="s">
        <v>186</v>
      </c>
      <c r="CK1" s="4" t="s">
        <v>187</v>
      </c>
      <c r="CL1" s="4" t="s">
        <v>188</v>
      </c>
      <c r="CM1" s="3" t="s">
        <v>189</v>
      </c>
      <c r="CN1" s="4" t="s">
        <v>190</v>
      </c>
      <c r="CO1" s="3" t="s">
        <v>191</v>
      </c>
      <c r="CP1" s="3" t="s">
        <v>192</v>
      </c>
      <c r="CQ1" s="4" t="s">
        <v>193</v>
      </c>
      <c r="CR1" s="4" t="s">
        <v>194</v>
      </c>
      <c r="CS1" s="3" t="s">
        <v>195</v>
      </c>
      <c r="CT1" s="4" t="s">
        <v>196</v>
      </c>
      <c r="CU1" s="4" t="s">
        <v>197</v>
      </c>
      <c r="CV1" s="4" t="s">
        <v>198</v>
      </c>
      <c r="CW1" s="4" t="s">
        <v>199</v>
      </c>
      <c r="CX1" s="4" t="s">
        <v>200</v>
      </c>
      <c r="CY1" s="4" t="s">
        <v>137</v>
      </c>
    </row>
    <row r="2" spans="1:103" ht="22.5" x14ac:dyDescent="0.25">
      <c r="A2" s="1" t="s">
        <v>31</v>
      </c>
      <c r="B2" s="5" t="s">
        <v>32</v>
      </c>
      <c r="C2" s="5" t="s">
        <v>33</v>
      </c>
      <c r="D2" s="5" t="s">
        <v>34</v>
      </c>
      <c r="E2" s="6">
        <v>40420</v>
      </c>
      <c r="F2" s="6">
        <v>41351</v>
      </c>
      <c r="G2" s="6">
        <v>43146</v>
      </c>
      <c r="H2" s="8">
        <v>43223</v>
      </c>
      <c r="I2" s="14">
        <v>43227</v>
      </c>
      <c r="J2" s="7">
        <v>43358</v>
      </c>
      <c r="K2" s="8">
        <v>43573</v>
      </c>
      <c r="L2" s="8">
        <v>37418</v>
      </c>
      <c r="M2" s="8">
        <v>37417</v>
      </c>
      <c r="N2" s="12" t="s">
        <v>35</v>
      </c>
      <c r="O2" s="9" t="s">
        <v>36</v>
      </c>
      <c r="P2" s="8">
        <v>39671</v>
      </c>
      <c r="Q2" s="8">
        <v>40755</v>
      </c>
      <c r="R2" s="9" t="s">
        <v>37</v>
      </c>
      <c r="S2" s="8">
        <v>34902</v>
      </c>
      <c r="T2" s="8">
        <v>35278</v>
      </c>
      <c r="U2" s="8">
        <v>35302</v>
      </c>
      <c r="V2" s="8">
        <v>36044</v>
      </c>
      <c r="W2" s="8">
        <v>37370</v>
      </c>
      <c r="X2" s="8">
        <v>42894</v>
      </c>
      <c r="Y2" s="8">
        <v>43254</v>
      </c>
      <c r="Z2" s="8">
        <v>35329</v>
      </c>
      <c r="AA2" s="8">
        <v>35955</v>
      </c>
      <c r="AB2" s="8">
        <v>38804</v>
      </c>
      <c r="AC2" s="8">
        <v>42104</v>
      </c>
      <c r="AD2" s="8">
        <v>42142</v>
      </c>
      <c r="AE2" s="8">
        <v>43363</v>
      </c>
      <c r="AF2" s="8">
        <v>43569</v>
      </c>
      <c r="AG2" s="8">
        <v>40330</v>
      </c>
      <c r="AH2" s="6">
        <v>40697</v>
      </c>
      <c r="AI2" s="6">
        <v>40354</v>
      </c>
      <c r="AJ2" s="6">
        <v>42096</v>
      </c>
      <c r="AK2" s="6">
        <v>42097</v>
      </c>
      <c r="AL2" s="8">
        <v>34085</v>
      </c>
      <c r="AM2" s="8">
        <v>37332</v>
      </c>
      <c r="AN2" s="8">
        <v>38803</v>
      </c>
      <c r="AO2" s="8">
        <v>39944</v>
      </c>
      <c r="AP2" s="8">
        <v>40365</v>
      </c>
      <c r="AQ2" s="8">
        <v>41918</v>
      </c>
      <c r="AR2" s="8">
        <v>39974</v>
      </c>
      <c r="AS2" s="8">
        <v>39986</v>
      </c>
      <c r="AT2" s="8">
        <v>37385</v>
      </c>
      <c r="AU2" s="8">
        <v>35368</v>
      </c>
      <c r="AV2" s="8">
        <v>35321</v>
      </c>
      <c r="AW2" s="8">
        <v>31993</v>
      </c>
      <c r="AX2" s="8">
        <v>39940</v>
      </c>
      <c r="AY2" s="8">
        <v>38845</v>
      </c>
      <c r="AZ2" s="8">
        <v>41511</v>
      </c>
      <c r="BA2" s="8">
        <v>38797</v>
      </c>
      <c r="BB2" s="8">
        <v>38798</v>
      </c>
      <c r="BC2" s="8">
        <v>39898</v>
      </c>
      <c r="BD2" s="8">
        <v>39940</v>
      </c>
      <c r="BE2" s="8">
        <v>36218</v>
      </c>
      <c r="BF2" s="8">
        <v>39373</v>
      </c>
      <c r="BG2" s="8">
        <v>32469</v>
      </c>
      <c r="BH2" s="8">
        <v>30977</v>
      </c>
      <c r="BI2" s="8">
        <v>40105</v>
      </c>
      <c r="BJ2" s="8">
        <v>40133</v>
      </c>
      <c r="BK2" s="8">
        <v>39894</v>
      </c>
      <c r="BL2" s="8">
        <v>39914</v>
      </c>
      <c r="BM2" s="8">
        <v>39775</v>
      </c>
      <c r="BN2" s="8">
        <v>30582</v>
      </c>
      <c r="BO2" s="8">
        <v>31709</v>
      </c>
      <c r="BP2" s="8">
        <v>39409</v>
      </c>
      <c r="BQ2" s="8">
        <v>39609</v>
      </c>
      <c r="BR2" s="8">
        <v>40352</v>
      </c>
      <c r="BS2" s="8">
        <v>40356</v>
      </c>
      <c r="BT2" s="8">
        <v>30589</v>
      </c>
      <c r="BU2" s="8">
        <v>40133</v>
      </c>
      <c r="BV2" s="8">
        <v>40494</v>
      </c>
      <c r="BW2" s="8">
        <v>36293</v>
      </c>
      <c r="BX2" s="8">
        <v>31912</v>
      </c>
      <c r="BY2" s="8">
        <v>30740</v>
      </c>
      <c r="BZ2" s="8">
        <v>39684</v>
      </c>
      <c r="CA2" s="8">
        <v>35310</v>
      </c>
      <c r="CB2" s="8">
        <v>30795</v>
      </c>
      <c r="CC2" s="8">
        <v>39390</v>
      </c>
      <c r="CD2" s="8">
        <v>42679</v>
      </c>
      <c r="CE2" s="8">
        <v>30977</v>
      </c>
      <c r="CF2" s="8">
        <v>40512</v>
      </c>
      <c r="CG2" s="8">
        <v>40490</v>
      </c>
      <c r="CH2" s="8">
        <v>39686</v>
      </c>
      <c r="CI2" s="8">
        <v>39904</v>
      </c>
      <c r="CJ2" s="8">
        <v>32339</v>
      </c>
      <c r="CK2" s="8">
        <v>32401</v>
      </c>
      <c r="CL2" s="8">
        <v>32469</v>
      </c>
      <c r="CM2" s="8">
        <v>39348</v>
      </c>
      <c r="CN2" s="8">
        <v>42105</v>
      </c>
      <c r="CO2" s="8">
        <v>30075</v>
      </c>
      <c r="CP2" s="8">
        <v>31918</v>
      </c>
      <c r="CQ2" s="8">
        <v>43611</v>
      </c>
      <c r="CR2" s="8">
        <v>43561</v>
      </c>
      <c r="CS2" s="8">
        <v>43235</v>
      </c>
      <c r="CT2" s="8">
        <v>42833</v>
      </c>
      <c r="CU2" s="8">
        <v>43370</v>
      </c>
      <c r="CV2" s="8">
        <v>32248</v>
      </c>
      <c r="CW2" s="8">
        <v>43236</v>
      </c>
      <c r="CX2" s="8">
        <v>43611</v>
      </c>
      <c r="CY2" s="8">
        <v>37385</v>
      </c>
    </row>
    <row r="3" spans="1:103" x14ac:dyDescent="0.25">
      <c r="A3" s="5" t="s">
        <v>127</v>
      </c>
      <c r="B3" s="10">
        <v>52.642000000000003</v>
      </c>
      <c r="C3" s="10">
        <v>2.4809999999999999</v>
      </c>
      <c r="D3" s="10">
        <v>1.7969999999999999</v>
      </c>
      <c r="E3" s="10">
        <v>3.129</v>
      </c>
      <c r="F3" s="10">
        <v>1.3360000000000001</v>
      </c>
      <c r="G3" s="10">
        <v>0</v>
      </c>
      <c r="H3" s="10">
        <v>19.033000000000001</v>
      </c>
      <c r="I3" s="10">
        <v>20.989000000000001</v>
      </c>
      <c r="J3" s="10">
        <v>1.5669999999999999</v>
      </c>
      <c r="K3" s="10">
        <v>30.74</v>
      </c>
      <c r="L3" s="13">
        <v>2.0379999999999998</v>
      </c>
      <c r="M3" s="13">
        <v>0</v>
      </c>
      <c r="N3" s="13">
        <v>0.32400000000000001</v>
      </c>
      <c r="O3" s="13">
        <v>0</v>
      </c>
      <c r="P3" s="13">
        <v>3.7829999999999999</v>
      </c>
      <c r="Q3" s="13">
        <v>1.3620000000000001</v>
      </c>
      <c r="R3" s="13">
        <v>0.27500000000000002</v>
      </c>
      <c r="S3" s="13">
        <v>0</v>
      </c>
      <c r="T3" s="13">
        <v>1.7669999999999999</v>
      </c>
      <c r="U3" s="13">
        <v>3.738</v>
      </c>
      <c r="V3" s="13">
        <v>0</v>
      </c>
      <c r="W3" s="13">
        <v>1.218</v>
      </c>
      <c r="X3" s="13">
        <v>0.99399999999999999</v>
      </c>
      <c r="Y3" s="13">
        <v>3.3719999999999999</v>
      </c>
      <c r="Z3" s="13">
        <v>7.5869999999999997</v>
      </c>
      <c r="AA3" s="13">
        <v>3.7919999999999998</v>
      </c>
      <c r="AB3" s="13">
        <v>0</v>
      </c>
      <c r="AC3" s="13">
        <v>0</v>
      </c>
      <c r="AD3" s="13">
        <v>17.318999999999999</v>
      </c>
      <c r="AE3" s="13">
        <v>5.3780000000000001</v>
      </c>
      <c r="AF3" s="13">
        <v>4.133</v>
      </c>
      <c r="AG3" s="13">
        <v>0</v>
      </c>
      <c r="AH3" s="13">
        <v>2.766</v>
      </c>
      <c r="AI3" s="13">
        <v>3.5009999999999999</v>
      </c>
      <c r="AJ3" s="13">
        <v>0</v>
      </c>
      <c r="AK3" s="13">
        <v>1.581</v>
      </c>
      <c r="AL3" s="13">
        <v>16.193000000000001</v>
      </c>
      <c r="AM3" s="13">
        <v>11.082000000000001</v>
      </c>
      <c r="AN3" s="13">
        <v>2.2440000000000002</v>
      </c>
      <c r="AO3" s="13">
        <v>21.922999999999998</v>
      </c>
      <c r="AP3" s="13">
        <v>28.518000000000001</v>
      </c>
      <c r="AQ3" s="10">
        <v>78.858000000000004</v>
      </c>
      <c r="AR3" s="10">
        <v>56.59</v>
      </c>
      <c r="AS3" s="10">
        <v>10.407999999999999</v>
      </c>
      <c r="AT3" s="10">
        <v>0</v>
      </c>
      <c r="AU3" s="10">
        <v>7.7839999999999998</v>
      </c>
      <c r="AV3" s="10">
        <v>0</v>
      </c>
      <c r="AW3" s="10">
        <v>0.249</v>
      </c>
      <c r="AX3" s="10">
        <v>1.9790000000000001</v>
      </c>
      <c r="AY3" s="10">
        <v>7.0709999999999997</v>
      </c>
      <c r="AZ3" s="13">
        <v>0</v>
      </c>
      <c r="BA3" s="13">
        <v>0</v>
      </c>
      <c r="BB3" s="13">
        <v>3.7930000000000001</v>
      </c>
      <c r="BC3" s="13">
        <v>0.32600000000000001</v>
      </c>
      <c r="BD3" s="13">
        <v>1.518</v>
      </c>
      <c r="BE3" s="13">
        <v>0</v>
      </c>
      <c r="BF3" s="13">
        <v>7.9930000000000003</v>
      </c>
      <c r="BG3" s="13">
        <v>3.246</v>
      </c>
      <c r="BH3" s="10">
        <v>3.9790000000000001</v>
      </c>
      <c r="BI3" s="10">
        <v>3.1259999999999999</v>
      </c>
      <c r="BJ3" s="10">
        <v>6.5289999999999999</v>
      </c>
      <c r="BK3" s="13">
        <v>23.082999999999998</v>
      </c>
      <c r="BL3" s="13">
        <v>7.6239999999999997</v>
      </c>
      <c r="BM3" s="13">
        <v>9.9640000000000004</v>
      </c>
      <c r="BN3" s="13">
        <v>0</v>
      </c>
      <c r="BO3" s="13">
        <v>19.443000000000001</v>
      </c>
      <c r="BP3" s="13">
        <v>20.969000000000001</v>
      </c>
      <c r="BQ3" s="10">
        <v>0.51100000000000001</v>
      </c>
      <c r="BR3" s="10">
        <v>0</v>
      </c>
      <c r="BS3" s="10">
        <v>6.3369999999999997</v>
      </c>
      <c r="BT3" s="10">
        <v>2.57</v>
      </c>
      <c r="BU3" s="10">
        <v>6.8780000000000001</v>
      </c>
      <c r="BV3" s="10">
        <v>9.5510000000000002</v>
      </c>
      <c r="BW3" s="13">
        <v>1.282</v>
      </c>
      <c r="BX3" s="13">
        <v>0.72499999999999998</v>
      </c>
      <c r="BY3" s="13">
        <v>11.21</v>
      </c>
      <c r="BZ3" s="13">
        <v>11.932</v>
      </c>
      <c r="CA3" s="13">
        <v>27.19</v>
      </c>
      <c r="CB3" s="13">
        <v>20.02</v>
      </c>
      <c r="CC3" s="13">
        <v>0.82099999999999995</v>
      </c>
      <c r="CD3" s="13">
        <v>6.8869999999999996</v>
      </c>
      <c r="CE3" s="13">
        <v>19.381</v>
      </c>
      <c r="CF3" s="13">
        <v>11.211</v>
      </c>
      <c r="CG3" s="13">
        <v>2.4220000000000002</v>
      </c>
      <c r="CH3" s="13">
        <v>1.6779999999999999</v>
      </c>
      <c r="CI3" s="13">
        <v>7.1840000000000002</v>
      </c>
      <c r="CJ3" s="13">
        <v>2.9020000000000001</v>
      </c>
      <c r="CK3" s="13">
        <v>2.782</v>
      </c>
      <c r="CL3" s="13">
        <v>5.61</v>
      </c>
      <c r="CM3" s="13">
        <v>2.2050000000000001</v>
      </c>
      <c r="CN3" s="13">
        <v>12.443</v>
      </c>
      <c r="CO3" s="13">
        <v>6.3630000000000004</v>
      </c>
      <c r="CP3" s="13">
        <v>1.5629999999999999</v>
      </c>
      <c r="CQ3" s="13">
        <v>4.7270000000000003</v>
      </c>
      <c r="CR3" s="10">
        <v>43.752000000000002</v>
      </c>
      <c r="CS3" s="10">
        <v>3.1459999999999999</v>
      </c>
      <c r="CT3" s="10">
        <v>4.4379999999999997</v>
      </c>
      <c r="CU3" s="10">
        <v>1.665</v>
      </c>
      <c r="CV3" s="10">
        <v>5.6920000000000002</v>
      </c>
      <c r="CW3" s="10">
        <v>12.939</v>
      </c>
      <c r="CX3" s="10">
        <v>0</v>
      </c>
      <c r="CY3" s="10">
        <v>0</v>
      </c>
    </row>
    <row r="4" spans="1:103" x14ac:dyDescent="0.25">
      <c r="A4" s="5" t="s">
        <v>126</v>
      </c>
      <c r="B4" s="10">
        <v>18.199000000000002</v>
      </c>
      <c r="C4" s="10">
        <v>2.4809999999999999</v>
      </c>
      <c r="D4" s="10">
        <v>0</v>
      </c>
      <c r="E4" s="10">
        <v>12.516</v>
      </c>
      <c r="F4" s="10">
        <v>0.33400000000000002</v>
      </c>
      <c r="G4" s="10">
        <v>0</v>
      </c>
      <c r="H4" s="10">
        <v>19.033000000000001</v>
      </c>
      <c r="I4" s="10">
        <v>10.012</v>
      </c>
      <c r="J4" s="10">
        <v>66.546000000000006</v>
      </c>
      <c r="K4" s="10">
        <v>103.611</v>
      </c>
      <c r="L4" s="13">
        <v>0</v>
      </c>
      <c r="M4" s="13">
        <v>4.8310000000000004</v>
      </c>
      <c r="N4" s="13">
        <v>0.432</v>
      </c>
      <c r="O4" s="13">
        <v>0</v>
      </c>
      <c r="P4" s="13">
        <v>2.8889999999999998</v>
      </c>
      <c r="Q4" s="13">
        <v>1.3620000000000001</v>
      </c>
      <c r="R4" s="13">
        <v>0</v>
      </c>
      <c r="S4" s="13">
        <v>3.3780000000000001</v>
      </c>
      <c r="T4" s="13">
        <v>1.5149999999999999</v>
      </c>
      <c r="U4" s="13">
        <v>3.1920000000000002</v>
      </c>
      <c r="V4" s="13">
        <v>2.3199999999999998</v>
      </c>
      <c r="W4" s="13">
        <v>1.827</v>
      </c>
      <c r="X4" s="13">
        <v>0.99399999999999999</v>
      </c>
      <c r="Y4" s="13">
        <v>3.3719999999999999</v>
      </c>
      <c r="Z4" s="13">
        <v>20.707000000000001</v>
      </c>
      <c r="AA4" s="13">
        <v>3.6459999999999999</v>
      </c>
      <c r="AB4" s="13">
        <v>0.50800000000000001</v>
      </c>
      <c r="AC4" s="13">
        <v>0</v>
      </c>
      <c r="AD4" s="13">
        <v>33.670999999999999</v>
      </c>
      <c r="AE4" s="13">
        <v>10.756</v>
      </c>
      <c r="AF4" s="13">
        <v>6.3849999999999998</v>
      </c>
      <c r="AG4" s="13">
        <v>1.228</v>
      </c>
      <c r="AH4" s="13">
        <v>4.07</v>
      </c>
      <c r="AI4" s="13">
        <v>7.7549999999999999</v>
      </c>
      <c r="AJ4" s="13">
        <v>2.3719999999999999</v>
      </c>
      <c r="AK4" s="13">
        <v>0</v>
      </c>
      <c r="AL4" s="13">
        <v>2.1160000000000001</v>
      </c>
      <c r="AM4" s="13">
        <v>2.8479999999999999</v>
      </c>
      <c r="AN4" s="13">
        <v>0</v>
      </c>
      <c r="AO4" s="13">
        <v>13.561999999999999</v>
      </c>
      <c r="AP4" s="13">
        <v>17.562999999999999</v>
      </c>
      <c r="AQ4" s="10">
        <v>41.024000000000001</v>
      </c>
      <c r="AR4" s="10">
        <v>48.756</v>
      </c>
      <c r="AS4" s="10">
        <v>10.407999999999999</v>
      </c>
      <c r="AT4" s="10">
        <v>20.067</v>
      </c>
      <c r="AU4" s="10">
        <v>0</v>
      </c>
      <c r="AV4" s="10">
        <v>3.0489999999999999</v>
      </c>
      <c r="AW4" s="10">
        <v>0</v>
      </c>
      <c r="AX4" s="10">
        <v>1.9790000000000001</v>
      </c>
      <c r="AY4" s="10">
        <v>3.5350000000000001</v>
      </c>
      <c r="AZ4" s="13">
        <v>2.8740000000000001</v>
      </c>
      <c r="BA4" s="13">
        <v>0.84199999999999997</v>
      </c>
      <c r="BB4" s="13">
        <v>0</v>
      </c>
      <c r="BC4" s="13">
        <v>0</v>
      </c>
      <c r="BD4" s="13">
        <v>0.50600000000000001</v>
      </c>
      <c r="BE4" s="13">
        <v>0</v>
      </c>
      <c r="BF4" s="13">
        <v>2.923</v>
      </c>
      <c r="BG4" s="13">
        <v>0</v>
      </c>
      <c r="BH4" s="10">
        <v>0.36099999999999999</v>
      </c>
      <c r="BI4" s="10">
        <v>9.3780000000000001</v>
      </c>
      <c r="BJ4" s="10">
        <v>0</v>
      </c>
      <c r="BK4" s="13">
        <v>0</v>
      </c>
      <c r="BL4" s="13">
        <v>16.152999999999999</v>
      </c>
      <c r="BM4" s="13">
        <v>12.398999999999999</v>
      </c>
      <c r="BN4" s="13">
        <v>12.936999999999999</v>
      </c>
      <c r="BO4" s="13">
        <v>9.7219999999999995</v>
      </c>
      <c r="BP4" s="13">
        <v>9.4290000000000003</v>
      </c>
      <c r="BQ4" s="10">
        <v>0</v>
      </c>
      <c r="BR4" s="10">
        <v>0</v>
      </c>
      <c r="BS4" s="10">
        <v>3.169</v>
      </c>
      <c r="BT4" s="10">
        <v>0</v>
      </c>
      <c r="BU4" s="10">
        <v>0</v>
      </c>
      <c r="BV4" s="10">
        <v>0</v>
      </c>
      <c r="BW4" s="13">
        <v>1.7090000000000001</v>
      </c>
      <c r="BX4" s="13">
        <v>0</v>
      </c>
      <c r="BY4" s="13">
        <v>0</v>
      </c>
      <c r="BZ4" s="13">
        <v>24.305</v>
      </c>
      <c r="CA4" s="13">
        <v>20.445</v>
      </c>
      <c r="CB4" s="13">
        <v>15.884</v>
      </c>
      <c r="CC4" s="13">
        <v>0.995</v>
      </c>
      <c r="CD4" s="13">
        <v>6.8869999999999996</v>
      </c>
      <c r="CE4" s="13">
        <v>5.8239999999999998</v>
      </c>
      <c r="CF4" s="13">
        <v>33.89</v>
      </c>
      <c r="CG4" s="13">
        <v>3.0209999999999999</v>
      </c>
      <c r="CH4" s="13">
        <v>0.68300000000000005</v>
      </c>
      <c r="CI4" s="13">
        <v>3.5920000000000001</v>
      </c>
      <c r="CJ4" s="13">
        <v>0</v>
      </c>
      <c r="CK4" s="13">
        <v>6.9790000000000001</v>
      </c>
      <c r="CL4" s="13">
        <v>0</v>
      </c>
      <c r="CM4" s="13">
        <v>0</v>
      </c>
      <c r="CN4" s="13">
        <v>0</v>
      </c>
      <c r="CO4" s="13">
        <v>1.591</v>
      </c>
      <c r="CP4" s="13">
        <v>0</v>
      </c>
      <c r="CQ4" s="13">
        <v>35.567999999999998</v>
      </c>
      <c r="CR4" s="10">
        <v>52.99</v>
      </c>
      <c r="CS4" s="10">
        <v>2.5219999999999998</v>
      </c>
      <c r="CT4" s="10">
        <v>0</v>
      </c>
      <c r="CU4" s="10">
        <v>0</v>
      </c>
      <c r="CV4" s="10">
        <v>4.9089999999999998</v>
      </c>
      <c r="CW4" s="10">
        <v>11.148</v>
      </c>
      <c r="CX4" s="10">
        <v>2.4510000000000001</v>
      </c>
      <c r="CY4" s="10">
        <v>2.931</v>
      </c>
    </row>
    <row r="5" spans="1:103" x14ac:dyDescent="0.25">
      <c r="A5" s="5" t="s">
        <v>38</v>
      </c>
      <c r="B5" s="10">
        <v>30.937999999999999</v>
      </c>
      <c r="C5" s="10">
        <v>0</v>
      </c>
      <c r="D5" s="10">
        <v>0.59899999999999998</v>
      </c>
      <c r="E5" s="10">
        <v>6.258</v>
      </c>
      <c r="F5" s="10">
        <v>0</v>
      </c>
      <c r="G5" s="10">
        <v>0</v>
      </c>
      <c r="H5" s="10">
        <v>6.3440000000000003</v>
      </c>
      <c r="I5" s="10">
        <v>23.913</v>
      </c>
      <c r="J5" s="10">
        <v>61.966000000000001</v>
      </c>
      <c r="K5" s="10">
        <v>0</v>
      </c>
      <c r="L5" s="13">
        <v>4.8310000000000004</v>
      </c>
      <c r="M5" s="13">
        <v>1.5209999999999999</v>
      </c>
      <c r="N5" s="13">
        <v>0.432</v>
      </c>
      <c r="O5" s="13">
        <v>0.26</v>
      </c>
      <c r="P5" s="13">
        <v>0</v>
      </c>
      <c r="Q5" s="13">
        <v>5.4480000000000004</v>
      </c>
      <c r="R5" s="13">
        <v>0.11600000000000001</v>
      </c>
      <c r="S5" s="13">
        <v>0</v>
      </c>
      <c r="T5" s="13">
        <v>0.75700000000000001</v>
      </c>
      <c r="U5" s="13">
        <v>2.6160000000000001</v>
      </c>
      <c r="V5" s="13">
        <v>1.74</v>
      </c>
      <c r="W5" s="13">
        <v>0</v>
      </c>
      <c r="X5" s="13">
        <v>0</v>
      </c>
      <c r="Y5" s="13">
        <v>5.0590000000000002</v>
      </c>
      <c r="Z5" s="13">
        <v>8.5350000000000001</v>
      </c>
      <c r="AA5" s="13">
        <v>3.5</v>
      </c>
      <c r="AB5" s="13">
        <v>0.50800000000000001</v>
      </c>
      <c r="AC5" s="13">
        <v>14.403</v>
      </c>
      <c r="AD5" s="13">
        <v>0</v>
      </c>
      <c r="AE5" s="13">
        <v>0</v>
      </c>
      <c r="AF5" s="13">
        <v>4.133</v>
      </c>
      <c r="AG5" s="13">
        <v>0.61399999999999999</v>
      </c>
      <c r="AH5" s="13">
        <v>3.5550000000000002</v>
      </c>
      <c r="AI5" s="13">
        <v>0</v>
      </c>
      <c r="AJ5" s="13">
        <v>2.363</v>
      </c>
      <c r="AK5" s="13">
        <v>2.3719999999999999</v>
      </c>
      <c r="AL5" s="13">
        <v>5.5659999999999998</v>
      </c>
      <c r="AM5" s="13">
        <v>0</v>
      </c>
      <c r="AN5" s="13">
        <v>3.5939999999999999</v>
      </c>
      <c r="AO5" s="13">
        <v>2.1539999999999999</v>
      </c>
      <c r="AP5" s="13">
        <v>14.601000000000001</v>
      </c>
      <c r="AQ5" s="10">
        <v>15.523999999999999</v>
      </c>
      <c r="AR5" s="10">
        <v>18.863</v>
      </c>
      <c r="AS5" s="10">
        <v>5.7169999999999996</v>
      </c>
      <c r="AT5" s="10">
        <v>3.3439999999999999</v>
      </c>
      <c r="AU5" s="10">
        <v>15.568</v>
      </c>
      <c r="AV5" s="10">
        <v>1.423</v>
      </c>
      <c r="AW5" s="10">
        <v>0</v>
      </c>
      <c r="AX5" s="10">
        <v>1.4870000000000001</v>
      </c>
      <c r="AY5" s="10">
        <v>12.728999999999999</v>
      </c>
      <c r="AZ5" s="13">
        <v>0</v>
      </c>
      <c r="BA5" s="13">
        <v>0.84199999999999997</v>
      </c>
      <c r="BB5" s="13">
        <v>1.133</v>
      </c>
      <c r="BC5" s="13">
        <v>0</v>
      </c>
      <c r="BD5" s="13">
        <v>0.92700000000000005</v>
      </c>
      <c r="BE5" s="13">
        <v>9.7260000000000009</v>
      </c>
      <c r="BF5" s="13">
        <v>0</v>
      </c>
      <c r="BG5" s="13">
        <v>0</v>
      </c>
      <c r="BH5" s="10">
        <v>2.0099999999999998</v>
      </c>
      <c r="BI5" s="10">
        <v>0.53</v>
      </c>
      <c r="BJ5" s="10">
        <v>0</v>
      </c>
      <c r="BK5" s="13">
        <v>22.282</v>
      </c>
      <c r="BL5" s="13">
        <v>0</v>
      </c>
      <c r="BM5" s="13">
        <v>0</v>
      </c>
      <c r="BN5" s="13">
        <v>0</v>
      </c>
      <c r="BO5" s="13">
        <v>9.7219999999999995</v>
      </c>
      <c r="BP5" s="13">
        <v>0</v>
      </c>
      <c r="BQ5" s="10">
        <v>1.214</v>
      </c>
      <c r="BR5" s="10">
        <v>3.6419999999999999</v>
      </c>
      <c r="BS5" s="10">
        <v>1.87</v>
      </c>
      <c r="BT5" s="10">
        <v>0</v>
      </c>
      <c r="BU5" s="10">
        <v>0</v>
      </c>
      <c r="BV5" s="10">
        <v>0</v>
      </c>
      <c r="BW5" s="13">
        <v>0</v>
      </c>
      <c r="BX5" s="13">
        <v>0.26100000000000001</v>
      </c>
      <c r="BY5" s="13">
        <v>0</v>
      </c>
      <c r="BZ5" s="13">
        <v>37.290999999999997</v>
      </c>
      <c r="CA5" s="13">
        <v>9.0820000000000007</v>
      </c>
      <c r="CB5" s="13">
        <v>0</v>
      </c>
      <c r="CC5" s="13">
        <v>31.675000000000001</v>
      </c>
      <c r="CD5" s="13">
        <v>0</v>
      </c>
      <c r="CE5" s="13">
        <v>29.972000000000001</v>
      </c>
      <c r="CF5" s="13">
        <v>31.488</v>
      </c>
      <c r="CG5" s="13">
        <v>6.85</v>
      </c>
      <c r="CH5" s="13">
        <v>2.0470000000000002</v>
      </c>
      <c r="CI5" s="13">
        <v>0.64400000000000002</v>
      </c>
      <c r="CJ5" s="13">
        <v>0.79</v>
      </c>
      <c r="CK5" s="13">
        <v>8.9510000000000005</v>
      </c>
      <c r="CL5" s="13">
        <v>0</v>
      </c>
      <c r="CM5" s="13">
        <v>4.4109999999999996</v>
      </c>
      <c r="CN5" s="13">
        <v>0</v>
      </c>
      <c r="CO5" s="13">
        <v>4.7729999999999997</v>
      </c>
      <c r="CP5" s="13">
        <v>0</v>
      </c>
      <c r="CQ5" s="13">
        <v>14.964</v>
      </c>
      <c r="CR5" s="10">
        <v>1.3560000000000001</v>
      </c>
      <c r="CS5" s="10">
        <v>5.6310000000000002</v>
      </c>
      <c r="CT5" s="10">
        <v>0</v>
      </c>
      <c r="CU5" s="10">
        <v>0</v>
      </c>
      <c r="CV5" s="10">
        <v>2.5760000000000001</v>
      </c>
      <c r="CW5" s="10">
        <v>10.749000000000001</v>
      </c>
      <c r="CX5" s="10">
        <v>0.81699999999999995</v>
      </c>
      <c r="CY5" s="10">
        <v>0</v>
      </c>
    </row>
    <row r="6" spans="1:103" x14ac:dyDescent="0.25">
      <c r="A6" s="5" t="s">
        <v>39</v>
      </c>
      <c r="B6" s="10">
        <v>41.232999999999997</v>
      </c>
      <c r="C6" s="10">
        <v>0</v>
      </c>
      <c r="D6" s="10">
        <v>0.59899999999999998</v>
      </c>
      <c r="E6" s="10">
        <v>3.129</v>
      </c>
      <c r="F6" s="10">
        <v>0</v>
      </c>
      <c r="G6" s="10">
        <v>0</v>
      </c>
      <c r="H6" s="10">
        <v>0</v>
      </c>
      <c r="I6" s="10">
        <v>31.722000000000001</v>
      </c>
      <c r="J6" s="10">
        <v>29.401</v>
      </c>
      <c r="K6" s="10">
        <v>54.860999999999997</v>
      </c>
      <c r="L6" s="13">
        <v>1.5209999999999999</v>
      </c>
      <c r="M6" s="13">
        <v>3.0430000000000001</v>
      </c>
      <c r="N6" s="13">
        <v>0.54700000000000004</v>
      </c>
      <c r="O6" s="13">
        <v>0.13</v>
      </c>
      <c r="P6" s="13">
        <v>0</v>
      </c>
      <c r="Q6" s="13">
        <v>4.0860000000000003</v>
      </c>
      <c r="R6" s="13">
        <v>0</v>
      </c>
      <c r="S6" s="13">
        <v>1.218</v>
      </c>
      <c r="T6" s="13">
        <v>1.5149999999999999</v>
      </c>
      <c r="U6" s="13">
        <v>2.2970000000000002</v>
      </c>
      <c r="V6" s="13">
        <v>0.57999999999999996</v>
      </c>
      <c r="W6" s="13">
        <v>1.218</v>
      </c>
      <c r="X6" s="13">
        <v>0.84399999999999997</v>
      </c>
      <c r="Y6" s="13">
        <v>1.571</v>
      </c>
      <c r="Z6" s="13">
        <v>0</v>
      </c>
      <c r="AA6" s="13">
        <v>6.327</v>
      </c>
      <c r="AB6" s="13">
        <v>0.76200000000000001</v>
      </c>
      <c r="AC6" s="13">
        <v>15.22</v>
      </c>
      <c r="AD6" s="13">
        <v>48.441000000000003</v>
      </c>
      <c r="AE6" s="13">
        <v>0</v>
      </c>
      <c r="AF6" s="13">
        <v>5.7809999999999997</v>
      </c>
      <c r="AG6" s="13">
        <v>0</v>
      </c>
      <c r="AH6" s="13">
        <v>0</v>
      </c>
      <c r="AI6" s="13">
        <v>1.179</v>
      </c>
      <c r="AJ6" s="13">
        <v>0</v>
      </c>
      <c r="AK6" s="13">
        <v>2.363</v>
      </c>
      <c r="AL6" s="13">
        <v>4.5069999999999997</v>
      </c>
      <c r="AM6" s="13">
        <v>21.672999999999998</v>
      </c>
      <c r="AN6" s="13">
        <v>24.81</v>
      </c>
      <c r="AO6" s="13">
        <v>14.198</v>
      </c>
      <c r="AP6" s="13">
        <v>0</v>
      </c>
      <c r="AQ6" s="10">
        <v>0</v>
      </c>
      <c r="AR6" s="10">
        <v>0</v>
      </c>
      <c r="AS6" s="10">
        <v>8.5749999999999993</v>
      </c>
      <c r="AT6" s="10">
        <v>0</v>
      </c>
      <c r="AU6" s="10">
        <v>0</v>
      </c>
      <c r="AV6" s="10">
        <v>2.0680000000000001</v>
      </c>
      <c r="AW6" s="10">
        <v>0.995</v>
      </c>
      <c r="AX6" s="10">
        <v>1.4870000000000001</v>
      </c>
      <c r="AY6" s="10">
        <v>27.934000000000001</v>
      </c>
      <c r="AZ6" s="13">
        <v>0.40600000000000003</v>
      </c>
      <c r="BA6" s="13">
        <v>0.84199999999999997</v>
      </c>
      <c r="BB6" s="13">
        <v>1.133</v>
      </c>
      <c r="BC6" s="13">
        <v>0</v>
      </c>
      <c r="BD6" s="13">
        <v>1.855</v>
      </c>
      <c r="BE6" s="13">
        <v>0</v>
      </c>
      <c r="BF6" s="13">
        <v>0</v>
      </c>
      <c r="BG6" s="13">
        <v>0</v>
      </c>
      <c r="BH6" s="10">
        <v>0</v>
      </c>
      <c r="BI6" s="10">
        <v>0</v>
      </c>
      <c r="BJ6" s="10">
        <v>0</v>
      </c>
      <c r="BK6" s="13">
        <v>22.282</v>
      </c>
      <c r="BL6" s="13">
        <v>0</v>
      </c>
      <c r="BM6" s="13">
        <v>37.762999999999998</v>
      </c>
      <c r="BN6" s="13">
        <v>34.017000000000003</v>
      </c>
      <c r="BO6" s="13">
        <v>0</v>
      </c>
      <c r="BP6" s="13">
        <v>13.231</v>
      </c>
      <c r="BQ6" s="10">
        <v>1.7430000000000001</v>
      </c>
      <c r="BR6" s="10">
        <v>6.3769999999999998</v>
      </c>
      <c r="BS6" s="10">
        <v>5.4130000000000003</v>
      </c>
      <c r="BT6" s="10">
        <v>0</v>
      </c>
      <c r="BU6" s="10">
        <v>0</v>
      </c>
      <c r="BV6" s="10">
        <v>0</v>
      </c>
      <c r="BW6" s="13">
        <v>0</v>
      </c>
      <c r="BX6" s="13">
        <v>0</v>
      </c>
      <c r="BY6" s="13">
        <v>1.9039999999999999</v>
      </c>
      <c r="BZ6" s="13">
        <v>11.932</v>
      </c>
      <c r="CA6" s="13">
        <v>9.5329999999999995</v>
      </c>
      <c r="CB6" s="13">
        <v>0</v>
      </c>
      <c r="CC6" s="13">
        <v>16.297000000000001</v>
      </c>
      <c r="CD6" s="13">
        <v>0.26600000000000001</v>
      </c>
      <c r="CE6" s="13">
        <v>0</v>
      </c>
      <c r="CF6" s="13">
        <v>0</v>
      </c>
      <c r="CG6" s="13">
        <v>2.306</v>
      </c>
      <c r="CH6" s="13">
        <v>4.0949999999999998</v>
      </c>
      <c r="CI6" s="13">
        <v>0.65400000000000003</v>
      </c>
      <c r="CJ6" s="13">
        <v>0</v>
      </c>
      <c r="CK6" s="13">
        <v>4.6520000000000001</v>
      </c>
      <c r="CL6" s="13">
        <v>0</v>
      </c>
      <c r="CM6" s="13">
        <v>3.17</v>
      </c>
      <c r="CN6" s="13">
        <v>13.835000000000001</v>
      </c>
      <c r="CO6" s="13">
        <v>3.1819999999999999</v>
      </c>
      <c r="CP6" s="13">
        <v>1.7609999999999999</v>
      </c>
      <c r="CQ6" s="13">
        <v>46.036999999999999</v>
      </c>
      <c r="CR6" s="10">
        <v>0</v>
      </c>
      <c r="CS6" s="10">
        <v>0.83499999999999996</v>
      </c>
      <c r="CT6" s="10">
        <v>0</v>
      </c>
      <c r="CU6" s="10">
        <v>0.64100000000000001</v>
      </c>
      <c r="CV6" s="10">
        <v>2.6240000000000001</v>
      </c>
      <c r="CW6" s="10">
        <v>28.905999999999999</v>
      </c>
      <c r="CX6" s="10">
        <v>4.085</v>
      </c>
      <c r="CY6" s="10">
        <v>0</v>
      </c>
    </row>
    <row r="7" spans="1:103" x14ac:dyDescent="0.25">
      <c r="A7" s="5" t="s">
        <v>40</v>
      </c>
      <c r="B7" s="10">
        <v>0</v>
      </c>
      <c r="C7" s="10">
        <v>0.58899999999999997</v>
      </c>
      <c r="D7" s="10">
        <v>2.661</v>
      </c>
      <c r="E7" s="10">
        <v>12.516</v>
      </c>
      <c r="F7" s="10">
        <v>0.24</v>
      </c>
      <c r="G7" s="10">
        <v>0</v>
      </c>
      <c r="H7" s="10">
        <v>20.571000000000002</v>
      </c>
      <c r="I7" s="10">
        <v>19.033000000000001</v>
      </c>
      <c r="J7" s="10">
        <v>62.831000000000003</v>
      </c>
      <c r="K7" s="10">
        <v>33.893999999999998</v>
      </c>
      <c r="L7" s="13">
        <v>3.0430000000000001</v>
      </c>
      <c r="M7" s="13">
        <v>3.0430000000000001</v>
      </c>
      <c r="N7" s="13">
        <v>0.13700000000000001</v>
      </c>
      <c r="O7" s="13">
        <v>0.13</v>
      </c>
      <c r="P7" s="13">
        <v>1.325</v>
      </c>
      <c r="Q7" s="13">
        <v>0</v>
      </c>
      <c r="R7" s="13">
        <v>0</v>
      </c>
      <c r="S7" s="13">
        <v>1.827</v>
      </c>
      <c r="T7" s="13">
        <v>1.5149999999999999</v>
      </c>
      <c r="U7" s="13">
        <v>1.895</v>
      </c>
      <c r="V7" s="13">
        <v>1.1599999999999999</v>
      </c>
      <c r="W7" s="13">
        <v>1.349</v>
      </c>
      <c r="X7" s="13">
        <v>1.6890000000000001</v>
      </c>
      <c r="Y7" s="13">
        <v>4.1310000000000002</v>
      </c>
      <c r="Z7" s="13">
        <v>0</v>
      </c>
      <c r="AA7" s="13">
        <v>0</v>
      </c>
      <c r="AB7" s="13">
        <v>1.887</v>
      </c>
      <c r="AC7" s="13">
        <v>1.036</v>
      </c>
      <c r="AD7" s="13">
        <v>3.161</v>
      </c>
      <c r="AE7" s="13">
        <v>2.5510000000000002</v>
      </c>
      <c r="AF7" s="13">
        <v>7.726</v>
      </c>
      <c r="AG7" s="13">
        <v>0</v>
      </c>
      <c r="AH7" s="13">
        <v>0</v>
      </c>
      <c r="AI7" s="13">
        <v>0</v>
      </c>
      <c r="AJ7" s="13">
        <v>4.4669999999999996</v>
      </c>
      <c r="AK7" s="13">
        <v>0</v>
      </c>
      <c r="AL7" s="13">
        <v>17.754999999999999</v>
      </c>
      <c r="AM7" s="13">
        <v>0</v>
      </c>
      <c r="AN7" s="13">
        <v>3.08</v>
      </c>
      <c r="AO7" s="13">
        <v>13.88</v>
      </c>
      <c r="AP7" s="13">
        <v>14.145</v>
      </c>
      <c r="AQ7" s="10">
        <v>20.686</v>
      </c>
      <c r="AR7" s="10">
        <v>0</v>
      </c>
      <c r="AS7" s="10">
        <v>5.7169999999999996</v>
      </c>
      <c r="AT7" s="10">
        <v>0</v>
      </c>
      <c r="AU7" s="10">
        <v>0</v>
      </c>
      <c r="AV7" s="10">
        <v>1.665</v>
      </c>
      <c r="AW7" s="10">
        <v>1.077</v>
      </c>
      <c r="AX7" s="10">
        <v>1.4870000000000001</v>
      </c>
      <c r="AY7" s="10">
        <v>20.95</v>
      </c>
      <c r="AZ7" s="13">
        <v>0.79900000000000004</v>
      </c>
      <c r="BA7" s="13">
        <v>0</v>
      </c>
      <c r="BB7" s="13">
        <v>1.133</v>
      </c>
      <c r="BC7" s="13">
        <v>1.081</v>
      </c>
      <c r="BD7" s="13">
        <v>0.92700000000000005</v>
      </c>
      <c r="BE7" s="13">
        <v>0</v>
      </c>
      <c r="BF7" s="13">
        <v>2.2109999999999999</v>
      </c>
      <c r="BG7" s="13">
        <v>2.2919999999999998</v>
      </c>
      <c r="BH7" s="10">
        <v>15.676</v>
      </c>
      <c r="BI7" s="10">
        <v>0</v>
      </c>
      <c r="BJ7" s="10">
        <v>4.9539999999999997</v>
      </c>
      <c r="BK7" s="13">
        <v>0</v>
      </c>
      <c r="BL7" s="13">
        <v>8.0760000000000005</v>
      </c>
      <c r="BM7" s="13">
        <v>13.358000000000001</v>
      </c>
      <c r="BN7" s="13">
        <v>0</v>
      </c>
      <c r="BO7" s="13">
        <v>37.97</v>
      </c>
      <c r="BP7" s="13">
        <v>0</v>
      </c>
      <c r="BQ7" s="10">
        <v>1.0209999999999999</v>
      </c>
      <c r="BR7" s="10">
        <v>6.3769999999999998</v>
      </c>
      <c r="BS7" s="10">
        <v>0</v>
      </c>
      <c r="BT7" s="10">
        <v>0</v>
      </c>
      <c r="BU7" s="10">
        <v>0</v>
      </c>
      <c r="BV7" s="10">
        <v>5.8769999999999998</v>
      </c>
      <c r="BW7" s="13">
        <v>1.28</v>
      </c>
      <c r="BX7" s="13">
        <v>0</v>
      </c>
      <c r="BY7" s="13">
        <v>11.673</v>
      </c>
      <c r="BZ7" s="13">
        <v>0</v>
      </c>
      <c r="CA7" s="13">
        <v>1.863</v>
      </c>
      <c r="CB7" s="13">
        <v>0</v>
      </c>
      <c r="CC7" s="13">
        <v>32.545999999999999</v>
      </c>
      <c r="CD7" s="13">
        <v>27.66</v>
      </c>
      <c r="CE7" s="13">
        <v>31.724</v>
      </c>
      <c r="CF7" s="13">
        <v>0</v>
      </c>
      <c r="CG7" s="13">
        <v>2.6179999999999999</v>
      </c>
      <c r="CH7" s="13">
        <v>6.1420000000000003</v>
      </c>
      <c r="CI7" s="13">
        <v>1.6279999999999999</v>
      </c>
      <c r="CJ7" s="13">
        <v>5.8029999999999999</v>
      </c>
      <c r="CK7" s="13">
        <v>0</v>
      </c>
      <c r="CL7" s="13">
        <v>4.117</v>
      </c>
      <c r="CM7" s="13">
        <v>6.34</v>
      </c>
      <c r="CN7" s="13">
        <v>13.835000000000001</v>
      </c>
      <c r="CO7" s="13">
        <v>1.8080000000000001</v>
      </c>
      <c r="CP7" s="13">
        <v>0</v>
      </c>
      <c r="CQ7" s="13">
        <v>17.555</v>
      </c>
      <c r="CR7" s="10">
        <v>5.0490000000000004</v>
      </c>
      <c r="CS7" s="10">
        <v>1.4079999999999999</v>
      </c>
      <c r="CT7" s="10">
        <v>0</v>
      </c>
      <c r="CU7" s="10">
        <v>0</v>
      </c>
      <c r="CV7" s="10">
        <v>21.542000000000002</v>
      </c>
      <c r="CW7" s="10">
        <v>8.68</v>
      </c>
      <c r="CX7" s="10">
        <v>1.6339999999999999</v>
      </c>
      <c r="CY7" s="10">
        <v>0.47599999999999998</v>
      </c>
    </row>
    <row r="8" spans="1:103" x14ac:dyDescent="0.25">
      <c r="A8" s="5" t="s">
        <v>125</v>
      </c>
      <c r="B8" s="10">
        <v>0</v>
      </c>
      <c r="C8" s="10">
        <v>0</v>
      </c>
      <c r="D8" s="10">
        <v>1.331</v>
      </c>
      <c r="E8" s="10">
        <v>0</v>
      </c>
      <c r="F8" s="10">
        <v>0.24</v>
      </c>
      <c r="G8" s="10">
        <v>0</v>
      </c>
      <c r="H8" s="10">
        <v>5.1660000000000004</v>
      </c>
      <c r="I8" s="10">
        <v>19.033000000000001</v>
      </c>
      <c r="J8" s="10">
        <v>0</v>
      </c>
      <c r="K8" s="10">
        <v>16.946999999999999</v>
      </c>
      <c r="L8" s="13">
        <v>3.0430000000000001</v>
      </c>
      <c r="M8" s="13">
        <v>0.67800000000000005</v>
      </c>
      <c r="N8" s="13">
        <v>0.27300000000000002</v>
      </c>
      <c r="O8" s="13">
        <v>0.64900000000000002</v>
      </c>
      <c r="P8" s="13">
        <v>1.325</v>
      </c>
      <c r="Q8" s="13">
        <v>4.0860000000000003</v>
      </c>
      <c r="R8" s="13">
        <v>0</v>
      </c>
      <c r="S8" s="13">
        <v>2.7829999999999999</v>
      </c>
      <c r="T8" s="13">
        <v>2.2719999999999998</v>
      </c>
      <c r="U8" s="13">
        <v>2.343</v>
      </c>
      <c r="V8" s="13">
        <v>2.3199999999999998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0.47199999999999998</v>
      </c>
      <c r="AC8" s="13">
        <v>6.9139999999999997</v>
      </c>
      <c r="AD8" s="13">
        <v>35.988999999999997</v>
      </c>
      <c r="AE8" s="13">
        <v>13.157</v>
      </c>
      <c r="AF8" s="13">
        <v>6.4409999999999998</v>
      </c>
      <c r="AG8" s="13">
        <v>0.61399999999999999</v>
      </c>
      <c r="AH8" s="13">
        <v>0</v>
      </c>
      <c r="AI8" s="13">
        <v>4.7149999999999999</v>
      </c>
      <c r="AJ8" s="13">
        <v>0.78800000000000003</v>
      </c>
      <c r="AK8" s="13">
        <v>4.4669999999999996</v>
      </c>
      <c r="AL8" s="13">
        <v>11.131</v>
      </c>
      <c r="AM8" s="13">
        <v>14.903</v>
      </c>
      <c r="AN8" s="13">
        <v>8.3629999999999995</v>
      </c>
      <c r="AO8" s="13">
        <v>4.6269999999999998</v>
      </c>
      <c r="AP8" s="13">
        <v>0</v>
      </c>
      <c r="AQ8" s="10">
        <v>1.964</v>
      </c>
      <c r="AR8" s="10">
        <v>16.645</v>
      </c>
      <c r="AS8" s="10">
        <v>5.7169999999999996</v>
      </c>
      <c r="AT8" s="10">
        <v>2.7759999999999998</v>
      </c>
      <c r="AU8" s="10">
        <v>9.0640000000000001</v>
      </c>
      <c r="AV8" s="10">
        <v>0.61099999999999999</v>
      </c>
      <c r="AW8" s="10">
        <v>0.35899999999999999</v>
      </c>
      <c r="AX8" s="10">
        <v>7.4349999999999996</v>
      </c>
      <c r="AY8" s="10">
        <v>7.4039999999999999</v>
      </c>
      <c r="AZ8" s="13">
        <v>0.60899999999999999</v>
      </c>
      <c r="BA8" s="13">
        <v>0.96199999999999997</v>
      </c>
      <c r="BB8" s="13">
        <v>0</v>
      </c>
      <c r="BC8" s="13">
        <v>0.54100000000000004</v>
      </c>
      <c r="BD8" s="13">
        <v>3.7090000000000001</v>
      </c>
      <c r="BE8" s="13">
        <v>4.8630000000000004</v>
      </c>
      <c r="BF8" s="13">
        <v>0</v>
      </c>
      <c r="BG8" s="13">
        <v>2.2919999999999998</v>
      </c>
      <c r="BH8" s="10">
        <v>0</v>
      </c>
      <c r="BI8" s="10">
        <v>0</v>
      </c>
      <c r="BJ8" s="10">
        <v>5.3410000000000002</v>
      </c>
      <c r="BK8" s="13">
        <v>1.841</v>
      </c>
      <c r="BL8" s="13">
        <v>0</v>
      </c>
      <c r="BM8" s="13">
        <v>0</v>
      </c>
      <c r="BN8" s="13">
        <v>8.0419999999999998</v>
      </c>
      <c r="BO8" s="13">
        <v>28.478000000000002</v>
      </c>
      <c r="BP8" s="13">
        <v>0</v>
      </c>
      <c r="BQ8" s="10">
        <v>0.34100000000000003</v>
      </c>
      <c r="BR8" s="10">
        <v>0</v>
      </c>
      <c r="BS8" s="10">
        <v>0</v>
      </c>
      <c r="BT8" s="10">
        <v>3.64</v>
      </c>
      <c r="BU8" s="10">
        <v>0</v>
      </c>
      <c r="BV8" s="10">
        <v>0</v>
      </c>
      <c r="BW8" s="13">
        <v>0.42699999999999999</v>
      </c>
      <c r="BX8" s="13">
        <v>0.70399999999999996</v>
      </c>
      <c r="BY8" s="13">
        <v>0</v>
      </c>
      <c r="BZ8" s="13">
        <v>27.349</v>
      </c>
      <c r="CA8" s="13">
        <v>15.426</v>
      </c>
      <c r="CB8" s="13">
        <v>0</v>
      </c>
      <c r="CC8" s="13">
        <v>16.273</v>
      </c>
      <c r="CD8" s="13">
        <v>8.9280000000000008</v>
      </c>
      <c r="CE8" s="13">
        <v>22.713999999999999</v>
      </c>
      <c r="CF8" s="13">
        <v>8.1929999999999996</v>
      </c>
      <c r="CG8" s="13">
        <v>3.7080000000000002</v>
      </c>
      <c r="CH8" s="13">
        <v>2.0470000000000002</v>
      </c>
      <c r="CI8" s="13">
        <v>1.9259999999999999</v>
      </c>
      <c r="CJ8" s="13">
        <v>7.6539999999999999</v>
      </c>
      <c r="CK8" s="13">
        <v>0</v>
      </c>
      <c r="CL8" s="13">
        <v>3.8839999999999999</v>
      </c>
      <c r="CM8" s="13">
        <v>1.514</v>
      </c>
      <c r="CN8" s="13">
        <v>7.5750000000000002</v>
      </c>
      <c r="CO8" s="13">
        <v>0</v>
      </c>
      <c r="CP8" s="13">
        <v>8.8059999999999992</v>
      </c>
      <c r="CQ8" s="13">
        <v>7.6369999999999996</v>
      </c>
      <c r="CR8" s="10">
        <v>44.564</v>
      </c>
      <c r="CS8" s="10">
        <v>0</v>
      </c>
      <c r="CT8" s="10">
        <v>1.573</v>
      </c>
      <c r="CU8" s="10">
        <v>1.282</v>
      </c>
      <c r="CV8" s="10">
        <v>8.98</v>
      </c>
      <c r="CW8" s="10">
        <v>9.0779999999999994</v>
      </c>
      <c r="CX8" s="10">
        <v>0</v>
      </c>
      <c r="CY8" s="10">
        <v>0.47599999999999998</v>
      </c>
    </row>
    <row r="9" spans="1:103" x14ac:dyDescent="0.25">
      <c r="A9" s="5" t="s">
        <v>41</v>
      </c>
      <c r="B9" s="10">
        <v>0</v>
      </c>
      <c r="C9" s="10">
        <v>6.3659999999999997</v>
      </c>
      <c r="D9" s="10">
        <v>0.66500000000000004</v>
      </c>
      <c r="E9" s="10">
        <v>11.631</v>
      </c>
      <c r="F9" s="10">
        <v>0.72</v>
      </c>
      <c r="G9" s="10">
        <v>0</v>
      </c>
      <c r="H9" s="10">
        <v>8.1940000000000008</v>
      </c>
      <c r="I9" s="10">
        <v>6.3440000000000003</v>
      </c>
      <c r="J9" s="10">
        <v>33.981000000000002</v>
      </c>
      <c r="K9" s="10">
        <v>0</v>
      </c>
      <c r="L9" s="13">
        <v>0.67800000000000005</v>
      </c>
      <c r="M9" s="13">
        <v>1.3879999999999999</v>
      </c>
      <c r="N9" s="13">
        <v>0.27300000000000002</v>
      </c>
      <c r="O9" s="13">
        <v>0.38</v>
      </c>
      <c r="P9" s="13">
        <v>2.1800000000000002</v>
      </c>
      <c r="Q9" s="13">
        <v>0</v>
      </c>
      <c r="R9" s="13">
        <v>0</v>
      </c>
      <c r="S9" s="13">
        <v>3.4790000000000001</v>
      </c>
      <c r="T9" s="13">
        <v>3.03</v>
      </c>
      <c r="U9" s="13">
        <v>1.0249999999999999</v>
      </c>
      <c r="V9" s="13">
        <v>2.4529999999999998</v>
      </c>
      <c r="W9" s="13">
        <v>1.349</v>
      </c>
      <c r="X9" s="13">
        <v>0.42199999999999999</v>
      </c>
      <c r="Y9" s="13">
        <v>6.2859999999999996</v>
      </c>
      <c r="Z9" s="13">
        <v>2.7730000000000001</v>
      </c>
      <c r="AA9" s="13">
        <v>3.99</v>
      </c>
      <c r="AB9" s="13">
        <v>1.415</v>
      </c>
      <c r="AC9" s="13">
        <v>3.915</v>
      </c>
      <c r="AD9" s="13">
        <v>0</v>
      </c>
      <c r="AE9" s="13">
        <v>22.847000000000001</v>
      </c>
      <c r="AF9" s="13">
        <v>5.8019999999999996</v>
      </c>
      <c r="AG9" s="13">
        <v>1.228</v>
      </c>
      <c r="AH9" s="13">
        <v>0</v>
      </c>
      <c r="AI9" s="13">
        <v>7.2839999999999998</v>
      </c>
      <c r="AJ9" s="13">
        <v>1.159</v>
      </c>
      <c r="AK9" s="13">
        <v>0.78800000000000003</v>
      </c>
      <c r="AL9" s="13">
        <v>5.2060000000000004</v>
      </c>
      <c r="AM9" s="13">
        <v>0</v>
      </c>
      <c r="AN9" s="13">
        <v>1.764</v>
      </c>
      <c r="AO9" s="13">
        <v>8.1280000000000001</v>
      </c>
      <c r="AP9" s="13">
        <v>0.88900000000000001</v>
      </c>
      <c r="AQ9" s="10">
        <v>0</v>
      </c>
      <c r="AR9" s="10">
        <v>24.968</v>
      </c>
      <c r="AS9" s="10">
        <v>2.8580000000000001</v>
      </c>
      <c r="AT9" s="10">
        <v>5.5519999999999996</v>
      </c>
      <c r="AU9" s="10">
        <v>0</v>
      </c>
      <c r="AV9" s="10">
        <v>0.84599999999999997</v>
      </c>
      <c r="AW9" s="10">
        <v>0.71799999999999997</v>
      </c>
      <c r="AX9" s="10">
        <v>1.4870000000000001</v>
      </c>
      <c r="AY9" s="10">
        <v>20.95</v>
      </c>
      <c r="AZ9" s="13">
        <v>0.66200000000000003</v>
      </c>
      <c r="BA9" s="13">
        <v>0</v>
      </c>
      <c r="BB9" s="13">
        <v>1.2949999999999999</v>
      </c>
      <c r="BC9" s="13">
        <v>1.042</v>
      </c>
      <c r="BD9" s="13">
        <v>0.92700000000000005</v>
      </c>
      <c r="BE9" s="13">
        <v>2.431</v>
      </c>
      <c r="BF9" s="13">
        <v>3.621</v>
      </c>
      <c r="BG9" s="13">
        <v>4.5839999999999996</v>
      </c>
      <c r="BH9" s="10">
        <v>0</v>
      </c>
      <c r="BI9" s="10">
        <v>4.867</v>
      </c>
      <c r="BJ9" s="10">
        <v>2.6280000000000001</v>
      </c>
      <c r="BK9" s="13">
        <v>0</v>
      </c>
      <c r="BL9" s="13">
        <v>0</v>
      </c>
      <c r="BM9" s="13">
        <v>37.762999999999998</v>
      </c>
      <c r="BN9" s="13">
        <v>22.678000000000001</v>
      </c>
      <c r="BO9" s="13">
        <v>18.984999999999999</v>
      </c>
      <c r="BP9" s="13">
        <v>15.704000000000001</v>
      </c>
      <c r="BQ9" s="10">
        <v>0</v>
      </c>
      <c r="BR9" s="10">
        <v>4.2519999999999998</v>
      </c>
      <c r="BS9" s="10">
        <v>3.6419999999999999</v>
      </c>
      <c r="BT9" s="10">
        <v>0</v>
      </c>
      <c r="BU9" s="10">
        <v>3.23</v>
      </c>
      <c r="BV9" s="10">
        <v>11.754</v>
      </c>
      <c r="BW9" s="13">
        <v>0.85299999999999998</v>
      </c>
      <c r="BX9" s="13">
        <v>0.61599999999999999</v>
      </c>
      <c r="BY9" s="13">
        <v>11.061</v>
      </c>
      <c r="BZ9" s="13">
        <v>8.4499999999999993</v>
      </c>
      <c r="CA9" s="13">
        <v>9.5630000000000006</v>
      </c>
      <c r="CB9" s="13">
        <v>15.457000000000001</v>
      </c>
      <c r="CC9" s="13">
        <v>0</v>
      </c>
      <c r="CD9" s="13">
        <v>0</v>
      </c>
      <c r="CE9" s="13">
        <v>0</v>
      </c>
      <c r="CF9" s="13">
        <v>0</v>
      </c>
      <c r="CG9" s="13">
        <v>4.0419999999999998</v>
      </c>
      <c r="CH9" s="13">
        <v>0</v>
      </c>
      <c r="CI9" s="13">
        <v>2.593</v>
      </c>
      <c r="CJ9" s="13">
        <v>0</v>
      </c>
      <c r="CK9" s="13">
        <v>4.5359999999999996</v>
      </c>
      <c r="CL9" s="13">
        <v>8.234</v>
      </c>
      <c r="CM9" s="13">
        <v>0</v>
      </c>
      <c r="CN9" s="13">
        <v>7.03</v>
      </c>
      <c r="CO9" s="13">
        <v>5.423</v>
      </c>
      <c r="CP9" s="13">
        <v>2.657</v>
      </c>
      <c r="CQ9" s="13">
        <v>28.388999999999999</v>
      </c>
      <c r="CR9" s="10">
        <v>9.657</v>
      </c>
      <c r="CS9" s="10">
        <v>0.56100000000000005</v>
      </c>
      <c r="CT9" s="10">
        <v>0</v>
      </c>
      <c r="CU9" s="10">
        <v>0</v>
      </c>
      <c r="CV9" s="10">
        <v>6.4550000000000001</v>
      </c>
      <c r="CW9" s="10">
        <v>0</v>
      </c>
      <c r="CX9" s="10">
        <v>1.59</v>
      </c>
      <c r="CY9" s="10">
        <v>1.903</v>
      </c>
    </row>
    <row r="10" spans="1:103" x14ac:dyDescent="0.25">
      <c r="A10" s="5" t="s">
        <v>124</v>
      </c>
      <c r="B10" s="10">
        <v>10.537000000000001</v>
      </c>
      <c r="C10" s="10">
        <v>6.3659999999999997</v>
      </c>
      <c r="D10" s="10">
        <v>0.66500000000000004</v>
      </c>
      <c r="E10" s="10">
        <v>0</v>
      </c>
      <c r="F10" s="10">
        <v>0</v>
      </c>
      <c r="G10" s="10">
        <v>0</v>
      </c>
      <c r="H10" s="10">
        <v>15.401</v>
      </c>
      <c r="I10" s="10">
        <v>0</v>
      </c>
      <c r="J10" s="10">
        <v>34.159999999999997</v>
      </c>
      <c r="K10" s="10">
        <v>15.513999999999999</v>
      </c>
      <c r="L10" s="13">
        <v>1.3879999999999999</v>
      </c>
      <c r="M10" s="13">
        <v>2.1</v>
      </c>
      <c r="N10" s="13">
        <v>0.41</v>
      </c>
      <c r="O10" s="13">
        <v>0.19</v>
      </c>
      <c r="P10" s="13">
        <v>0</v>
      </c>
      <c r="Q10" s="13">
        <v>1.238</v>
      </c>
      <c r="R10" s="13">
        <v>0</v>
      </c>
      <c r="S10" s="13">
        <v>0</v>
      </c>
      <c r="T10" s="13">
        <v>0.94699999999999995</v>
      </c>
      <c r="U10" s="13">
        <v>1.0249999999999999</v>
      </c>
      <c r="V10" s="13">
        <v>1.84</v>
      </c>
      <c r="W10" s="13">
        <v>0</v>
      </c>
      <c r="X10" s="13">
        <v>0.42199999999999999</v>
      </c>
      <c r="Y10" s="13">
        <v>4.0220000000000002</v>
      </c>
      <c r="Z10" s="13">
        <v>6.9610000000000003</v>
      </c>
      <c r="AA10" s="13">
        <v>0</v>
      </c>
      <c r="AB10" s="13">
        <v>0.85299999999999998</v>
      </c>
      <c r="AC10" s="13">
        <v>10.909000000000001</v>
      </c>
      <c r="AD10" s="13">
        <v>18.268000000000001</v>
      </c>
      <c r="AE10" s="13">
        <v>0</v>
      </c>
      <c r="AF10" s="13">
        <v>0</v>
      </c>
      <c r="AG10" s="13">
        <v>0.76100000000000001</v>
      </c>
      <c r="AH10" s="13">
        <v>0</v>
      </c>
      <c r="AI10" s="13">
        <v>0</v>
      </c>
      <c r="AJ10" s="13">
        <v>0.78800000000000003</v>
      </c>
      <c r="AK10" s="13">
        <v>1.159</v>
      </c>
      <c r="AL10" s="13">
        <v>10.704000000000001</v>
      </c>
      <c r="AM10" s="13">
        <v>0</v>
      </c>
      <c r="AN10" s="13">
        <v>7.8659999999999997</v>
      </c>
      <c r="AO10" s="13">
        <v>8.1280000000000001</v>
      </c>
      <c r="AP10" s="13">
        <v>12.557</v>
      </c>
      <c r="AQ10" s="10">
        <v>9.3339999999999996</v>
      </c>
      <c r="AR10" s="10">
        <v>15.045999999999999</v>
      </c>
      <c r="AS10" s="10">
        <v>3.702</v>
      </c>
      <c r="AT10" s="10">
        <v>2.7759999999999998</v>
      </c>
      <c r="AU10" s="10">
        <v>6.0430000000000001</v>
      </c>
      <c r="AV10" s="10">
        <v>4.37</v>
      </c>
      <c r="AW10" s="10">
        <v>0</v>
      </c>
      <c r="AX10" s="10">
        <v>2.3090000000000002</v>
      </c>
      <c r="AY10" s="10">
        <v>6.5629999999999997</v>
      </c>
      <c r="AZ10" s="13">
        <v>0.68600000000000005</v>
      </c>
      <c r="BA10" s="13">
        <v>0</v>
      </c>
      <c r="BB10" s="13">
        <v>0.161</v>
      </c>
      <c r="BC10" s="13">
        <v>0</v>
      </c>
      <c r="BD10" s="13">
        <v>0.86899999999999999</v>
      </c>
      <c r="BE10" s="13">
        <v>5.7359999999999998</v>
      </c>
      <c r="BF10" s="13">
        <v>3.621</v>
      </c>
      <c r="BG10" s="13">
        <v>1.4259999999999999</v>
      </c>
      <c r="BH10" s="10">
        <v>7.851</v>
      </c>
      <c r="BI10" s="10">
        <v>14.6</v>
      </c>
      <c r="BJ10" s="10">
        <v>4.7530000000000001</v>
      </c>
      <c r="BK10" s="13">
        <v>9.798</v>
      </c>
      <c r="BL10" s="13">
        <v>16.154</v>
      </c>
      <c r="BM10" s="13">
        <v>0</v>
      </c>
      <c r="BN10" s="13">
        <v>19.381</v>
      </c>
      <c r="BO10" s="13">
        <v>7.0030000000000001</v>
      </c>
      <c r="BP10" s="13">
        <v>0</v>
      </c>
      <c r="BQ10" s="10">
        <v>1.01</v>
      </c>
      <c r="BR10" s="10">
        <v>2.1259999999999999</v>
      </c>
      <c r="BS10" s="10">
        <v>6.3769999999999998</v>
      </c>
      <c r="BT10" s="10">
        <v>0</v>
      </c>
      <c r="BU10" s="10">
        <v>6.46</v>
      </c>
      <c r="BV10" s="10">
        <v>2.9119999999999999</v>
      </c>
      <c r="BW10" s="13">
        <v>0.42699999999999999</v>
      </c>
      <c r="BX10" s="13">
        <v>0</v>
      </c>
      <c r="BY10" s="13">
        <v>4.931</v>
      </c>
      <c r="BZ10" s="13">
        <v>0.40200000000000002</v>
      </c>
      <c r="CA10" s="13">
        <v>32.271000000000001</v>
      </c>
      <c r="CB10" s="13">
        <v>0</v>
      </c>
      <c r="CC10" s="13">
        <v>0</v>
      </c>
      <c r="CD10" s="13">
        <v>26.783000000000001</v>
      </c>
      <c r="CE10" s="13">
        <v>31.986999999999998</v>
      </c>
      <c r="CF10" s="13">
        <v>18.405999999999999</v>
      </c>
      <c r="CG10" s="13">
        <v>3.2010000000000001</v>
      </c>
      <c r="CH10" s="13">
        <v>4.8170000000000002</v>
      </c>
      <c r="CI10" s="13">
        <v>0.35899999999999999</v>
      </c>
      <c r="CJ10" s="13">
        <v>0</v>
      </c>
      <c r="CK10" s="13">
        <v>0.754</v>
      </c>
      <c r="CL10" s="13">
        <v>0.74299999999999999</v>
      </c>
      <c r="CM10" s="13">
        <v>0</v>
      </c>
      <c r="CN10" s="13">
        <v>4.0369999999999999</v>
      </c>
      <c r="CO10" s="13">
        <v>5.423</v>
      </c>
      <c r="CP10" s="13">
        <v>0</v>
      </c>
      <c r="CQ10" s="13">
        <v>1.48</v>
      </c>
      <c r="CR10" s="10">
        <v>0</v>
      </c>
      <c r="CS10" s="10">
        <v>0</v>
      </c>
      <c r="CT10" s="10">
        <v>1.625</v>
      </c>
      <c r="CU10" s="10">
        <v>0.995</v>
      </c>
      <c r="CV10" s="10">
        <v>3.4020000000000001</v>
      </c>
      <c r="CW10" s="10">
        <v>9.3350000000000009</v>
      </c>
      <c r="CX10" s="10">
        <v>0.79500000000000004</v>
      </c>
      <c r="CY10" s="10">
        <v>0.95099999999999996</v>
      </c>
    </row>
    <row r="11" spans="1:103" x14ac:dyDescent="0.25">
      <c r="A11" s="5" t="s">
        <v>42</v>
      </c>
      <c r="B11" s="10">
        <v>251.58500000000001</v>
      </c>
      <c r="C11" s="10">
        <v>4.665</v>
      </c>
      <c r="D11" s="10">
        <v>0</v>
      </c>
      <c r="E11" s="10">
        <v>5.8159999999999998</v>
      </c>
      <c r="F11" s="10">
        <v>0</v>
      </c>
      <c r="G11" s="10">
        <v>0</v>
      </c>
      <c r="H11" s="10">
        <v>11.707000000000001</v>
      </c>
      <c r="I11" s="10">
        <v>20.571000000000002</v>
      </c>
      <c r="J11" s="10">
        <v>48.197000000000003</v>
      </c>
      <c r="K11" s="10">
        <v>25.922000000000001</v>
      </c>
      <c r="L11" s="13">
        <v>2.1</v>
      </c>
      <c r="M11" s="13">
        <v>6.26</v>
      </c>
      <c r="N11" s="13">
        <v>0.371</v>
      </c>
      <c r="O11" s="13">
        <v>0.76</v>
      </c>
      <c r="P11" s="13">
        <v>0</v>
      </c>
      <c r="Q11" s="13">
        <v>0</v>
      </c>
      <c r="R11" s="13">
        <v>0</v>
      </c>
      <c r="S11" s="13">
        <v>1.7729999999999999</v>
      </c>
      <c r="T11" s="13">
        <v>0.82299999999999995</v>
      </c>
      <c r="U11" s="13">
        <v>2.0499999999999998</v>
      </c>
      <c r="V11" s="13">
        <v>1.84</v>
      </c>
      <c r="W11" s="13">
        <v>0.67400000000000004</v>
      </c>
      <c r="X11" s="13">
        <v>0.499</v>
      </c>
      <c r="Y11" s="13">
        <v>3.1429999999999998</v>
      </c>
      <c r="Z11" s="13">
        <v>0</v>
      </c>
      <c r="AA11" s="13">
        <v>12.118</v>
      </c>
      <c r="AB11" s="13">
        <v>0.86499999999999999</v>
      </c>
      <c r="AC11" s="13">
        <v>0</v>
      </c>
      <c r="AD11" s="13">
        <v>11.579000000000001</v>
      </c>
      <c r="AE11" s="13">
        <v>0.88500000000000001</v>
      </c>
      <c r="AF11" s="13">
        <v>24.635999999999999</v>
      </c>
      <c r="AG11" s="13">
        <v>0.38</v>
      </c>
      <c r="AH11" s="13">
        <v>3.4529999999999998</v>
      </c>
      <c r="AI11" s="13">
        <v>4.0960000000000001</v>
      </c>
      <c r="AJ11" s="13">
        <v>0</v>
      </c>
      <c r="AK11" s="13">
        <v>0.78800000000000003</v>
      </c>
      <c r="AL11" s="13">
        <v>24.917999999999999</v>
      </c>
      <c r="AM11" s="13">
        <v>0</v>
      </c>
      <c r="AN11" s="13">
        <v>6.4210000000000003</v>
      </c>
      <c r="AO11" s="13">
        <v>10.401999999999999</v>
      </c>
      <c r="AP11" s="13">
        <v>0</v>
      </c>
      <c r="AQ11" s="10">
        <v>2.7250000000000001</v>
      </c>
      <c r="AR11" s="10">
        <v>0</v>
      </c>
      <c r="AS11" s="10">
        <v>7.4039999999999999</v>
      </c>
      <c r="AT11" s="10">
        <v>2.7759999999999998</v>
      </c>
      <c r="AU11" s="10">
        <v>2.903</v>
      </c>
      <c r="AV11" s="10">
        <v>1.35</v>
      </c>
      <c r="AW11" s="10">
        <v>1.4359999999999999</v>
      </c>
      <c r="AX11" s="10">
        <v>2.3090000000000002</v>
      </c>
      <c r="AY11" s="10">
        <v>13.115</v>
      </c>
      <c r="AZ11" s="13">
        <v>3.5790000000000002</v>
      </c>
      <c r="BA11" s="13">
        <v>1.099</v>
      </c>
      <c r="BB11" s="13">
        <v>0</v>
      </c>
      <c r="BC11" s="13">
        <v>0.52100000000000002</v>
      </c>
      <c r="BD11" s="13">
        <v>1.304</v>
      </c>
      <c r="BE11" s="13">
        <v>0</v>
      </c>
      <c r="BF11" s="13">
        <v>0</v>
      </c>
      <c r="BG11" s="13">
        <v>1.9810000000000001</v>
      </c>
      <c r="BH11" s="10">
        <v>0</v>
      </c>
      <c r="BI11" s="10">
        <v>4.867</v>
      </c>
      <c r="BJ11" s="10">
        <v>0</v>
      </c>
      <c r="BK11" s="13">
        <v>0</v>
      </c>
      <c r="BL11" s="13">
        <v>18.919</v>
      </c>
      <c r="BM11" s="13">
        <v>0</v>
      </c>
      <c r="BN11" s="13">
        <v>0</v>
      </c>
      <c r="BO11" s="13">
        <v>21.696999999999999</v>
      </c>
      <c r="BP11" s="13">
        <v>0</v>
      </c>
      <c r="BQ11" s="10">
        <v>1.01</v>
      </c>
      <c r="BR11" s="10">
        <v>0</v>
      </c>
      <c r="BS11" s="10">
        <v>6.3769999999999998</v>
      </c>
      <c r="BT11" s="10">
        <v>3.64</v>
      </c>
      <c r="BU11" s="10">
        <v>0</v>
      </c>
      <c r="BV11" s="10">
        <v>5.8239999999999998</v>
      </c>
      <c r="BW11" s="13">
        <v>0.28100000000000003</v>
      </c>
      <c r="BX11" s="13">
        <v>0</v>
      </c>
      <c r="BY11" s="13">
        <v>0.27800000000000002</v>
      </c>
      <c r="BZ11" s="13">
        <v>39.850999999999999</v>
      </c>
      <c r="CA11" s="13">
        <v>25.152000000000001</v>
      </c>
      <c r="CB11" s="13">
        <v>11.51</v>
      </c>
      <c r="CC11" s="13">
        <v>47.220999999999997</v>
      </c>
      <c r="CD11" s="13">
        <v>29.408999999999999</v>
      </c>
      <c r="CE11" s="13">
        <v>1.7989999999999999</v>
      </c>
      <c r="CF11" s="13">
        <v>18.405999999999999</v>
      </c>
      <c r="CG11" s="13">
        <v>1.897</v>
      </c>
      <c r="CH11" s="13">
        <v>1.272</v>
      </c>
      <c r="CI11" s="13">
        <v>2.9049999999999998</v>
      </c>
      <c r="CJ11" s="13">
        <v>11.833</v>
      </c>
      <c r="CK11" s="13">
        <v>0.57499999999999996</v>
      </c>
      <c r="CL11" s="13">
        <v>4.09</v>
      </c>
      <c r="CM11" s="13">
        <v>2.6850000000000001</v>
      </c>
      <c r="CN11" s="13">
        <v>12.112</v>
      </c>
      <c r="CO11" s="13">
        <v>5.423</v>
      </c>
      <c r="CP11" s="13">
        <v>2.657</v>
      </c>
      <c r="CQ11" s="13">
        <v>13.381</v>
      </c>
      <c r="CR11" s="10">
        <v>17.562999999999999</v>
      </c>
      <c r="CS11" s="10">
        <v>10.89</v>
      </c>
      <c r="CT11" s="10">
        <v>3.415</v>
      </c>
      <c r="CU11" s="10">
        <v>0.995</v>
      </c>
      <c r="CV11" s="10">
        <v>8.5890000000000004</v>
      </c>
      <c r="CW11" s="10">
        <v>0</v>
      </c>
      <c r="CX11" s="10">
        <v>0.79500000000000004</v>
      </c>
      <c r="CY11" s="10">
        <v>0</v>
      </c>
    </row>
    <row r="12" spans="1:103" x14ac:dyDescent="0.25">
      <c r="A12" s="5" t="s">
        <v>43</v>
      </c>
      <c r="B12" s="10">
        <v>17.835999999999999</v>
      </c>
      <c r="C12" s="10">
        <v>0.55100000000000005</v>
      </c>
      <c r="D12" s="10">
        <v>0.53600000000000003</v>
      </c>
      <c r="E12" s="10">
        <v>0</v>
      </c>
      <c r="F12" s="10">
        <v>0</v>
      </c>
      <c r="G12" s="10">
        <v>25.657</v>
      </c>
      <c r="H12" s="10">
        <v>17.876000000000001</v>
      </c>
      <c r="I12" s="10">
        <v>5.1660000000000004</v>
      </c>
      <c r="J12" s="10">
        <v>75.605999999999995</v>
      </c>
      <c r="K12" s="10">
        <v>17.484000000000002</v>
      </c>
      <c r="L12" s="13">
        <v>6.26</v>
      </c>
      <c r="M12" s="13">
        <v>0</v>
      </c>
      <c r="N12" s="13">
        <v>0.124</v>
      </c>
      <c r="O12" s="13">
        <v>0.38</v>
      </c>
      <c r="P12" s="13">
        <v>1.6040000000000001</v>
      </c>
      <c r="Q12" s="13">
        <v>0</v>
      </c>
      <c r="R12" s="13">
        <v>0</v>
      </c>
      <c r="S12" s="13">
        <v>0.88700000000000001</v>
      </c>
      <c r="T12" s="13">
        <v>2.3660000000000001</v>
      </c>
      <c r="U12" s="13">
        <v>0</v>
      </c>
      <c r="V12" s="13">
        <v>0</v>
      </c>
      <c r="W12" s="13">
        <v>0</v>
      </c>
      <c r="X12" s="13">
        <v>0</v>
      </c>
      <c r="Y12" s="13">
        <v>5.7679999999999998</v>
      </c>
      <c r="Z12" s="13">
        <v>1.617</v>
      </c>
      <c r="AA12" s="13">
        <v>0</v>
      </c>
      <c r="AB12" s="13">
        <v>0</v>
      </c>
      <c r="AC12" s="13">
        <v>3.915</v>
      </c>
      <c r="AD12" s="13">
        <v>11.58</v>
      </c>
      <c r="AE12" s="13">
        <v>14.369</v>
      </c>
      <c r="AF12" s="13">
        <v>16.622</v>
      </c>
      <c r="AG12" s="13">
        <v>1.141</v>
      </c>
      <c r="AH12" s="13">
        <v>7.6909999999999998</v>
      </c>
      <c r="AI12" s="13">
        <v>2.335</v>
      </c>
      <c r="AJ12" s="13">
        <v>0</v>
      </c>
      <c r="AK12" s="13">
        <v>0</v>
      </c>
      <c r="AL12" s="13">
        <v>8.3810000000000002</v>
      </c>
      <c r="AM12" s="13">
        <v>3.4940000000000002</v>
      </c>
      <c r="AN12" s="13">
        <v>9.2390000000000008</v>
      </c>
      <c r="AO12" s="13">
        <v>37.96</v>
      </c>
      <c r="AP12" s="13">
        <v>10.087</v>
      </c>
      <c r="AQ12" s="10">
        <v>0</v>
      </c>
      <c r="AR12" s="10">
        <v>24.968</v>
      </c>
      <c r="AS12" s="10">
        <v>22.213000000000001</v>
      </c>
      <c r="AT12" s="10">
        <v>29.106000000000002</v>
      </c>
      <c r="AU12" s="10">
        <v>0</v>
      </c>
      <c r="AV12" s="10">
        <v>1.35</v>
      </c>
      <c r="AW12" s="10">
        <v>0</v>
      </c>
      <c r="AX12" s="10">
        <v>3.0790000000000002</v>
      </c>
      <c r="AY12" s="10">
        <v>0</v>
      </c>
      <c r="AZ12" s="13">
        <v>1.0289999999999999</v>
      </c>
      <c r="BA12" s="13">
        <v>1.099</v>
      </c>
      <c r="BB12" s="13">
        <v>0.91600000000000004</v>
      </c>
      <c r="BC12" s="13">
        <v>0</v>
      </c>
      <c r="BD12" s="13">
        <v>2.173</v>
      </c>
      <c r="BE12" s="13">
        <v>2.8679999999999999</v>
      </c>
      <c r="BF12" s="13">
        <v>9.1010000000000009</v>
      </c>
      <c r="BG12" s="13">
        <v>3.9620000000000002</v>
      </c>
      <c r="BH12" s="10">
        <v>9.06</v>
      </c>
      <c r="BI12" s="10">
        <v>0</v>
      </c>
      <c r="BJ12" s="10">
        <v>3.0030000000000001</v>
      </c>
      <c r="BK12" s="13">
        <v>0</v>
      </c>
      <c r="BL12" s="13">
        <v>2.044</v>
      </c>
      <c r="BM12" s="13">
        <v>0</v>
      </c>
      <c r="BN12" s="13">
        <v>26.446999999999999</v>
      </c>
      <c r="BO12" s="13">
        <v>35.427999999999997</v>
      </c>
      <c r="BP12" s="13">
        <v>0</v>
      </c>
      <c r="BQ12" s="10">
        <v>0.34100000000000003</v>
      </c>
      <c r="BR12" s="10">
        <v>6.516</v>
      </c>
      <c r="BS12" s="10">
        <v>0</v>
      </c>
      <c r="BT12" s="10">
        <v>0</v>
      </c>
      <c r="BU12" s="10">
        <v>3.6909999999999998</v>
      </c>
      <c r="BV12" s="10">
        <v>3.6760000000000002</v>
      </c>
      <c r="BW12" s="13">
        <v>1.1259999999999999</v>
      </c>
      <c r="BX12" s="13">
        <v>0</v>
      </c>
      <c r="BY12" s="13">
        <v>10.991</v>
      </c>
      <c r="BZ12" s="13">
        <v>9.41</v>
      </c>
      <c r="CA12" s="13">
        <v>20.36</v>
      </c>
      <c r="CB12" s="13">
        <v>11.292999999999999</v>
      </c>
      <c r="CC12" s="13">
        <v>0.55700000000000005</v>
      </c>
      <c r="CD12" s="13">
        <v>0</v>
      </c>
      <c r="CE12" s="13">
        <v>25.164000000000001</v>
      </c>
      <c r="CF12" s="13">
        <v>0.94299999999999995</v>
      </c>
      <c r="CG12" s="13">
        <v>5.3239999999999998</v>
      </c>
      <c r="CH12" s="13">
        <v>0</v>
      </c>
      <c r="CI12" s="13">
        <v>3.3079999999999998</v>
      </c>
      <c r="CJ12" s="13">
        <v>15.308</v>
      </c>
      <c r="CK12" s="13">
        <v>4.5359999999999996</v>
      </c>
      <c r="CL12" s="13">
        <v>8.18</v>
      </c>
      <c r="CM12" s="13">
        <v>5.3689999999999998</v>
      </c>
      <c r="CN12" s="13">
        <v>0</v>
      </c>
      <c r="CO12" s="13">
        <v>1.266</v>
      </c>
      <c r="CP12" s="13">
        <v>0</v>
      </c>
      <c r="CQ12" s="13">
        <v>40.142000000000003</v>
      </c>
      <c r="CR12" s="10">
        <v>0</v>
      </c>
      <c r="CS12" s="10">
        <v>1.903</v>
      </c>
      <c r="CT12" s="10">
        <v>9.0519999999999996</v>
      </c>
      <c r="CU12" s="10">
        <v>0</v>
      </c>
      <c r="CV12" s="10">
        <v>5.7469999999999999</v>
      </c>
      <c r="CW12" s="10">
        <v>66.811999999999998</v>
      </c>
      <c r="CX12" s="10">
        <v>2.3849999999999998</v>
      </c>
      <c r="CY12" s="10">
        <v>2.093</v>
      </c>
    </row>
    <row r="13" spans="1:103" x14ac:dyDescent="0.25">
      <c r="A13" s="5" t="s">
        <v>44</v>
      </c>
      <c r="B13" s="10">
        <v>10.537000000000001</v>
      </c>
      <c r="C13" s="10">
        <v>0</v>
      </c>
      <c r="D13" s="10">
        <v>2.145</v>
      </c>
      <c r="E13" s="10">
        <v>7.5449999999999999</v>
      </c>
      <c r="F13" s="10">
        <v>0</v>
      </c>
      <c r="G13" s="10">
        <v>0</v>
      </c>
      <c r="H13" s="10">
        <v>0</v>
      </c>
      <c r="I13" s="10">
        <v>8.1940000000000008</v>
      </c>
      <c r="J13" s="10">
        <v>0</v>
      </c>
      <c r="K13" s="10">
        <v>56.228000000000002</v>
      </c>
      <c r="L13" s="13">
        <v>0</v>
      </c>
      <c r="M13" s="13">
        <v>0</v>
      </c>
      <c r="N13" s="13">
        <v>0</v>
      </c>
      <c r="O13" s="13">
        <v>0.38</v>
      </c>
      <c r="P13" s="13">
        <v>0</v>
      </c>
      <c r="Q13" s="13">
        <v>0</v>
      </c>
      <c r="R13" s="13">
        <v>0</v>
      </c>
      <c r="S13" s="13">
        <v>2.66</v>
      </c>
      <c r="T13" s="13">
        <v>2.0219999999999998</v>
      </c>
      <c r="U13" s="13">
        <v>2.4849999999999999</v>
      </c>
      <c r="V13" s="13">
        <v>1.84</v>
      </c>
      <c r="W13" s="13">
        <v>0</v>
      </c>
      <c r="X13" s="13">
        <v>0.998</v>
      </c>
      <c r="Y13" s="13">
        <v>0</v>
      </c>
      <c r="Z13" s="13">
        <v>3.4809999999999999</v>
      </c>
      <c r="AA13" s="13">
        <v>8.32</v>
      </c>
      <c r="AB13" s="13">
        <v>0.504</v>
      </c>
      <c r="AC13" s="13">
        <v>18.472999999999999</v>
      </c>
      <c r="AD13" s="13">
        <v>12.045999999999999</v>
      </c>
      <c r="AE13" s="13">
        <v>7.7460000000000004</v>
      </c>
      <c r="AF13" s="13">
        <v>0.22800000000000001</v>
      </c>
      <c r="AG13" s="13">
        <v>0.76100000000000001</v>
      </c>
      <c r="AH13" s="13">
        <v>0</v>
      </c>
      <c r="AI13" s="13">
        <v>2.1779999999999999</v>
      </c>
      <c r="AJ13" s="13">
        <v>0</v>
      </c>
      <c r="AK13" s="13">
        <v>0</v>
      </c>
      <c r="AL13" s="13">
        <v>10.321</v>
      </c>
      <c r="AM13" s="13">
        <v>0</v>
      </c>
      <c r="AN13" s="13">
        <v>14.677</v>
      </c>
      <c r="AO13" s="13">
        <v>0</v>
      </c>
      <c r="AP13" s="13">
        <v>15.13</v>
      </c>
      <c r="AQ13" s="10">
        <v>11.202999999999999</v>
      </c>
      <c r="AR13" s="10">
        <v>3.9249999999999998</v>
      </c>
      <c r="AS13" s="10">
        <v>3.702</v>
      </c>
      <c r="AT13" s="10">
        <v>0</v>
      </c>
      <c r="AU13" s="10">
        <v>0</v>
      </c>
      <c r="AV13" s="10">
        <v>1.35</v>
      </c>
      <c r="AW13" s="10">
        <v>0.30299999999999999</v>
      </c>
      <c r="AX13" s="10">
        <v>0</v>
      </c>
      <c r="AY13" s="10">
        <v>16.399000000000001</v>
      </c>
      <c r="AZ13" s="13">
        <v>0</v>
      </c>
      <c r="BA13" s="13">
        <v>2.1970000000000001</v>
      </c>
      <c r="BB13" s="13">
        <v>1.077</v>
      </c>
      <c r="BC13" s="13">
        <v>0</v>
      </c>
      <c r="BD13" s="13">
        <v>0.435</v>
      </c>
      <c r="BE13" s="13">
        <v>0</v>
      </c>
      <c r="BF13" s="13">
        <v>2.4460000000000002</v>
      </c>
      <c r="BG13" s="13">
        <v>0</v>
      </c>
      <c r="BH13" s="10">
        <v>2.8439999999999999</v>
      </c>
      <c r="BI13" s="10">
        <v>0</v>
      </c>
      <c r="BJ13" s="10">
        <v>2.4670000000000001</v>
      </c>
      <c r="BK13" s="13">
        <v>0</v>
      </c>
      <c r="BL13" s="13">
        <v>48.463000000000001</v>
      </c>
      <c r="BM13" s="13">
        <v>65.097999999999999</v>
      </c>
      <c r="BN13" s="13">
        <v>8.8160000000000007</v>
      </c>
      <c r="BO13" s="13">
        <v>17.265999999999998</v>
      </c>
      <c r="BP13" s="13">
        <v>14.215</v>
      </c>
      <c r="BQ13" s="10">
        <v>1.6319999999999999</v>
      </c>
      <c r="BR13" s="10">
        <v>5.407</v>
      </c>
      <c r="BS13" s="10">
        <v>4.2519999999999998</v>
      </c>
      <c r="BT13" s="10">
        <v>4.91</v>
      </c>
      <c r="BU13" s="10">
        <v>0</v>
      </c>
      <c r="BV13" s="10">
        <v>5.8239999999999998</v>
      </c>
      <c r="BW13" s="13">
        <v>0.28100000000000003</v>
      </c>
      <c r="BX13" s="13">
        <v>0.31</v>
      </c>
      <c r="BY13" s="13">
        <v>0</v>
      </c>
      <c r="BZ13" s="13">
        <v>19.954999999999998</v>
      </c>
      <c r="CA13" s="13">
        <v>14.544</v>
      </c>
      <c r="CB13" s="13">
        <v>0</v>
      </c>
      <c r="CC13" s="13">
        <v>0</v>
      </c>
      <c r="CD13" s="13">
        <v>1.99</v>
      </c>
      <c r="CE13" s="13">
        <v>2.4489999999999998</v>
      </c>
      <c r="CF13" s="13">
        <v>14.103</v>
      </c>
      <c r="CG13" s="13">
        <v>6.6230000000000002</v>
      </c>
      <c r="CH13" s="13">
        <v>6.3620000000000001</v>
      </c>
      <c r="CI13" s="13">
        <v>3.903</v>
      </c>
      <c r="CJ13" s="13">
        <v>11.818</v>
      </c>
      <c r="CK13" s="13">
        <v>6.641</v>
      </c>
      <c r="CL13" s="13">
        <v>0</v>
      </c>
      <c r="CM13" s="13">
        <v>0</v>
      </c>
      <c r="CN13" s="13">
        <v>4.0369999999999999</v>
      </c>
      <c r="CO13" s="13">
        <v>0</v>
      </c>
      <c r="CP13" s="13">
        <v>0</v>
      </c>
      <c r="CQ13" s="13">
        <v>13.381</v>
      </c>
      <c r="CR13" s="10">
        <v>0</v>
      </c>
      <c r="CS13" s="10">
        <v>2.9729999999999999</v>
      </c>
      <c r="CT13" s="10">
        <v>3.415</v>
      </c>
      <c r="CU13" s="10">
        <v>0</v>
      </c>
      <c r="CV13" s="10">
        <v>9.0850000000000009</v>
      </c>
      <c r="CW13" s="10">
        <v>0</v>
      </c>
      <c r="CX13" s="10">
        <v>1.59</v>
      </c>
      <c r="CY13" s="10">
        <v>0</v>
      </c>
    </row>
    <row r="14" spans="1:103" x14ac:dyDescent="0.25">
      <c r="A14" s="16" t="s">
        <v>202</v>
      </c>
      <c r="B14" s="15">
        <v>90500000</v>
      </c>
      <c r="C14" s="15">
        <v>5640000</v>
      </c>
      <c r="D14" s="15">
        <v>2100000</v>
      </c>
      <c r="E14" s="15">
        <v>6320000</v>
      </c>
      <c r="F14" s="15">
        <v>1610000</v>
      </c>
      <c r="G14" s="15">
        <v>26400000</v>
      </c>
      <c r="H14" s="15">
        <v>2490000</v>
      </c>
      <c r="I14" s="15">
        <v>26400000</v>
      </c>
      <c r="J14" s="15">
        <v>66300000</v>
      </c>
      <c r="K14" s="15">
        <v>57000000</v>
      </c>
      <c r="L14" s="15">
        <v>7970000</v>
      </c>
      <c r="M14" s="15">
        <v>10700000</v>
      </c>
      <c r="N14" s="15">
        <v>530000</v>
      </c>
      <c r="O14" s="15">
        <v>2590000</v>
      </c>
      <c r="P14" s="15">
        <v>6700000</v>
      </c>
      <c r="Q14" s="15">
        <v>11900000</v>
      </c>
      <c r="R14" s="15">
        <v>2960000</v>
      </c>
      <c r="S14" s="15">
        <v>2210000</v>
      </c>
      <c r="T14" s="15">
        <v>3760000</v>
      </c>
      <c r="U14" s="15">
        <v>4540000</v>
      </c>
      <c r="V14" s="15">
        <v>2210000</v>
      </c>
      <c r="W14" s="15">
        <v>2950000</v>
      </c>
      <c r="X14" s="15" t="s">
        <v>203</v>
      </c>
      <c r="Y14" s="15">
        <v>5900000</v>
      </c>
      <c r="Z14" s="15">
        <v>20800000</v>
      </c>
      <c r="AA14" s="15">
        <v>6250000</v>
      </c>
      <c r="AB14" s="15">
        <v>1960000</v>
      </c>
      <c r="AC14" s="15">
        <v>26400000</v>
      </c>
      <c r="AD14" s="15">
        <v>57000000</v>
      </c>
      <c r="AE14" s="15">
        <v>6250000</v>
      </c>
      <c r="AF14" s="15">
        <v>26400000</v>
      </c>
      <c r="AG14" s="15">
        <v>2100000</v>
      </c>
      <c r="AH14" s="17">
        <v>7961317</v>
      </c>
      <c r="AI14" s="17">
        <v>7961317</v>
      </c>
      <c r="AJ14" s="17">
        <v>7961317</v>
      </c>
      <c r="AK14" s="17">
        <v>7961317</v>
      </c>
      <c r="AL14" s="17">
        <v>26281292</v>
      </c>
      <c r="AM14" s="17">
        <v>26281292</v>
      </c>
      <c r="AN14" s="17">
        <v>26281292</v>
      </c>
      <c r="AO14" s="17">
        <v>26281292</v>
      </c>
      <c r="AP14" s="17">
        <v>26281292</v>
      </c>
      <c r="AQ14" s="17">
        <v>87847945</v>
      </c>
      <c r="AR14" s="17">
        <v>87847945</v>
      </c>
      <c r="AS14" s="17">
        <v>23743009</v>
      </c>
      <c r="AT14" s="17">
        <v>23743009</v>
      </c>
      <c r="AU14" s="17">
        <v>10514845</v>
      </c>
      <c r="AV14" s="17">
        <v>10514845</v>
      </c>
      <c r="AW14" s="17">
        <v>3639729</v>
      </c>
      <c r="AX14" s="17">
        <v>9858701</v>
      </c>
      <c r="AY14" s="17">
        <v>33143242</v>
      </c>
      <c r="AZ14" s="17">
        <v>3789449</v>
      </c>
      <c r="BA14" s="17">
        <v>2654537</v>
      </c>
      <c r="BB14" s="17">
        <v>3207397</v>
      </c>
      <c r="BC14" s="17">
        <v>1704795</v>
      </c>
      <c r="BD14" s="17">
        <v>2090963</v>
      </c>
      <c r="BE14" s="17">
        <v>9250345</v>
      </c>
      <c r="BF14" s="17">
        <v>7783890</v>
      </c>
      <c r="BG14" s="17">
        <v>6434358</v>
      </c>
      <c r="BH14" s="17">
        <v>10602600</v>
      </c>
      <c r="BI14" s="17">
        <v>10602600</v>
      </c>
      <c r="BJ14" s="17">
        <v>10602600</v>
      </c>
      <c r="BK14" s="17">
        <v>48450900</v>
      </c>
      <c r="BL14" s="17">
        <v>48450900</v>
      </c>
      <c r="BM14" s="17">
        <v>48450900</v>
      </c>
      <c r="BN14" s="17">
        <v>48450900</v>
      </c>
      <c r="BO14" s="17">
        <v>48450900</v>
      </c>
      <c r="BP14" s="17">
        <v>48450900</v>
      </c>
      <c r="BQ14" s="17">
        <v>1870550</v>
      </c>
      <c r="BR14" s="15">
        <v>10700000</v>
      </c>
      <c r="BS14" s="15">
        <v>10700000</v>
      </c>
      <c r="BT14" s="15">
        <v>10700000</v>
      </c>
      <c r="BU14" s="15">
        <v>10700000</v>
      </c>
      <c r="BV14" s="15">
        <v>10700000</v>
      </c>
      <c r="BW14" s="17">
        <v>1001898</v>
      </c>
      <c r="BX14" s="17">
        <v>1001898</v>
      </c>
      <c r="BY14" s="17">
        <v>43266800</v>
      </c>
      <c r="BZ14" s="17">
        <v>43266800</v>
      </c>
      <c r="CA14" s="17">
        <v>43266800</v>
      </c>
      <c r="CB14" s="17">
        <v>43266800</v>
      </c>
      <c r="CC14" s="17">
        <v>43266800</v>
      </c>
      <c r="CD14" s="17">
        <v>43266800</v>
      </c>
      <c r="CE14" s="17">
        <v>43266800</v>
      </c>
      <c r="CF14" s="17">
        <v>43266800</v>
      </c>
      <c r="CG14" s="15">
        <v>7970000</v>
      </c>
      <c r="CH14" s="15">
        <v>7970000</v>
      </c>
      <c r="CI14" s="15">
        <v>7970000</v>
      </c>
      <c r="CJ14" s="17">
        <v>48450900</v>
      </c>
      <c r="CK14" s="17">
        <v>10602600</v>
      </c>
      <c r="CL14" s="17">
        <v>10602600</v>
      </c>
      <c r="CM14" s="15">
        <v>10700000</v>
      </c>
      <c r="CN14" s="17">
        <v>26281292</v>
      </c>
      <c r="CO14" s="15">
        <v>10700000</v>
      </c>
      <c r="CP14" s="15">
        <v>10700000</v>
      </c>
      <c r="CQ14" s="17">
        <v>48450900</v>
      </c>
      <c r="CR14" s="17">
        <v>43266800</v>
      </c>
      <c r="CS14" s="15">
        <v>7970000</v>
      </c>
      <c r="CT14" s="17">
        <v>10602600</v>
      </c>
      <c r="CU14" s="17">
        <v>4955000</v>
      </c>
      <c r="CV14" s="17">
        <v>33780320</v>
      </c>
      <c r="CW14" s="17">
        <v>33780320</v>
      </c>
      <c r="CX14" s="17">
        <v>4955000</v>
      </c>
      <c r="CY14" s="15">
        <v>2950000</v>
      </c>
    </row>
    <row r="15" spans="1:103" x14ac:dyDescent="0.25">
      <c r="A15" s="16" t="s">
        <v>201</v>
      </c>
      <c r="B15" s="15">
        <f>90500000*1000000</f>
        <v>90500000000000</v>
      </c>
      <c r="C15" s="15">
        <f>5640000*1000000</f>
        <v>5640000000000</v>
      </c>
      <c r="D15" s="15">
        <f>2100000*1000000</f>
        <v>2100000000000</v>
      </c>
      <c r="E15" s="15">
        <f>6320000*1000000</f>
        <v>6320000000000</v>
      </c>
      <c r="F15" s="15">
        <f>1610000*1000000</f>
        <v>1610000000000</v>
      </c>
      <c r="G15" s="15">
        <f>26400000*1000000</f>
        <v>26400000000000</v>
      </c>
      <c r="H15" s="15">
        <f>2490000*1000000</f>
        <v>2490000000000</v>
      </c>
      <c r="I15" s="15">
        <f>26400000*1000000</f>
        <v>26400000000000</v>
      </c>
      <c r="J15" s="15">
        <f>66300000*1000000</f>
        <v>66300000000000</v>
      </c>
      <c r="K15" s="15">
        <f>57000000*1000000</f>
        <v>57000000000000</v>
      </c>
      <c r="L15" s="15">
        <f>7970000*1000000</f>
        <v>7970000000000</v>
      </c>
      <c r="M15" s="15">
        <f>10700000*1000000</f>
        <v>10700000000000</v>
      </c>
      <c r="N15" s="15">
        <f>530000*1000000</f>
        <v>530000000000</v>
      </c>
      <c r="O15" s="15">
        <f>2590000*1000000</f>
        <v>2590000000000</v>
      </c>
      <c r="P15" s="15">
        <f>6700000*1000000</f>
        <v>6700000000000</v>
      </c>
      <c r="Q15" s="15">
        <f>11900000*1000000</f>
        <v>11900000000000</v>
      </c>
      <c r="R15" s="15">
        <f>2960000*1000000</f>
        <v>2960000000000</v>
      </c>
      <c r="S15" s="15">
        <f>2210000*1000000</f>
        <v>2210000000000</v>
      </c>
      <c r="T15" s="15">
        <f>3760000*1000000</f>
        <v>3760000000000</v>
      </c>
      <c r="U15" s="15">
        <f>4540000*1000000</f>
        <v>4540000000000</v>
      </c>
      <c r="V15" s="15">
        <f>2210000*1000000</f>
        <v>2210000000000</v>
      </c>
      <c r="W15" s="15">
        <f>2950000*1000000</f>
        <v>2950000000000</v>
      </c>
      <c r="X15" s="15">
        <f>1750000*1000000</f>
        <v>1750000000000</v>
      </c>
      <c r="Y15" s="15">
        <f>5900000*1000000</f>
        <v>5900000000000</v>
      </c>
      <c r="Z15" s="15">
        <f>20800000*1000000</f>
        <v>20800000000000</v>
      </c>
      <c r="AA15" s="15">
        <f>6250000*1000000</f>
        <v>6250000000000</v>
      </c>
      <c r="AB15" s="15">
        <f>1960000*1000000</f>
        <v>1960000000000</v>
      </c>
      <c r="AC15" s="15">
        <f>26400000*1000000</f>
        <v>26400000000000</v>
      </c>
      <c r="AD15" s="15">
        <f>57000000*1000000</f>
        <v>57000000000000</v>
      </c>
      <c r="AE15" s="15">
        <f>6250000*1000000</f>
        <v>6250000000000</v>
      </c>
      <c r="AF15" s="17">
        <f>AF14*1000000</f>
        <v>26400000000000</v>
      </c>
      <c r="AG15" s="17">
        <f t="shared" ref="AG15:CR15" si="0">AG14*1000000</f>
        <v>2100000000000</v>
      </c>
      <c r="AH15" s="17">
        <f t="shared" si="0"/>
        <v>7961317000000</v>
      </c>
      <c r="AI15" s="17">
        <f t="shared" si="0"/>
        <v>7961317000000</v>
      </c>
      <c r="AJ15" s="17">
        <f t="shared" si="0"/>
        <v>7961317000000</v>
      </c>
      <c r="AK15" s="17">
        <f t="shared" si="0"/>
        <v>7961317000000</v>
      </c>
      <c r="AL15" s="17">
        <f t="shared" si="0"/>
        <v>26281292000000</v>
      </c>
      <c r="AM15" s="17">
        <f t="shared" si="0"/>
        <v>26281292000000</v>
      </c>
      <c r="AN15" s="17">
        <f t="shared" si="0"/>
        <v>26281292000000</v>
      </c>
      <c r="AO15" s="17">
        <f t="shared" si="0"/>
        <v>26281292000000</v>
      </c>
      <c r="AP15" s="17">
        <f t="shared" si="0"/>
        <v>26281292000000</v>
      </c>
      <c r="AQ15" s="17">
        <f t="shared" si="0"/>
        <v>87847945000000</v>
      </c>
      <c r="AR15" s="17">
        <f t="shared" si="0"/>
        <v>87847945000000</v>
      </c>
      <c r="AS15" s="17">
        <f t="shared" si="0"/>
        <v>23743009000000</v>
      </c>
      <c r="AT15" s="17">
        <f t="shared" si="0"/>
        <v>23743009000000</v>
      </c>
      <c r="AU15" s="17">
        <f t="shared" si="0"/>
        <v>10514845000000</v>
      </c>
      <c r="AV15" s="17">
        <f t="shared" si="0"/>
        <v>10514845000000</v>
      </c>
      <c r="AW15" s="17">
        <f t="shared" si="0"/>
        <v>3639729000000</v>
      </c>
      <c r="AX15" s="17">
        <f t="shared" si="0"/>
        <v>9858701000000</v>
      </c>
      <c r="AY15" s="17">
        <f t="shared" si="0"/>
        <v>33143242000000</v>
      </c>
      <c r="AZ15" s="17">
        <f t="shared" si="0"/>
        <v>3789449000000</v>
      </c>
      <c r="BA15" s="17">
        <f t="shared" si="0"/>
        <v>2654537000000</v>
      </c>
      <c r="BB15" s="17">
        <f t="shared" si="0"/>
        <v>3207397000000</v>
      </c>
      <c r="BC15" s="17">
        <f t="shared" si="0"/>
        <v>1704795000000</v>
      </c>
      <c r="BD15" s="17">
        <f t="shared" si="0"/>
        <v>2090963000000</v>
      </c>
      <c r="BE15" s="17">
        <f t="shared" si="0"/>
        <v>9250345000000</v>
      </c>
      <c r="BF15" s="17">
        <f t="shared" si="0"/>
        <v>7783890000000</v>
      </c>
      <c r="BG15" s="17">
        <f t="shared" si="0"/>
        <v>6434358000000</v>
      </c>
      <c r="BH15" s="17">
        <f t="shared" si="0"/>
        <v>10602600000000</v>
      </c>
      <c r="BI15" s="17">
        <f t="shared" si="0"/>
        <v>10602600000000</v>
      </c>
      <c r="BJ15" s="17">
        <f t="shared" si="0"/>
        <v>10602600000000</v>
      </c>
      <c r="BK15" s="17">
        <f t="shared" si="0"/>
        <v>48450900000000</v>
      </c>
      <c r="BL15" s="17">
        <f t="shared" si="0"/>
        <v>48450900000000</v>
      </c>
      <c r="BM15" s="17">
        <f t="shared" si="0"/>
        <v>48450900000000</v>
      </c>
      <c r="BN15" s="17">
        <f t="shared" si="0"/>
        <v>48450900000000</v>
      </c>
      <c r="BO15" s="17">
        <f t="shared" si="0"/>
        <v>48450900000000</v>
      </c>
      <c r="BP15" s="17">
        <f t="shared" si="0"/>
        <v>48450900000000</v>
      </c>
      <c r="BQ15" s="17">
        <f t="shared" si="0"/>
        <v>1870550000000</v>
      </c>
      <c r="BR15" s="17">
        <f t="shared" si="0"/>
        <v>10700000000000</v>
      </c>
      <c r="BS15" s="17">
        <f t="shared" si="0"/>
        <v>10700000000000</v>
      </c>
      <c r="BT15" s="17">
        <f t="shared" si="0"/>
        <v>10700000000000</v>
      </c>
      <c r="BU15" s="17">
        <f t="shared" si="0"/>
        <v>10700000000000</v>
      </c>
      <c r="BV15" s="17">
        <f t="shared" si="0"/>
        <v>10700000000000</v>
      </c>
      <c r="BW15" s="17">
        <f t="shared" si="0"/>
        <v>1001898000000</v>
      </c>
      <c r="BX15" s="17">
        <f t="shared" si="0"/>
        <v>1001898000000</v>
      </c>
      <c r="BY15" s="17">
        <f t="shared" si="0"/>
        <v>43266800000000</v>
      </c>
      <c r="BZ15" s="17">
        <f t="shared" si="0"/>
        <v>43266800000000</v>
      </c>
      <c r="CA15" s="17">
        <f t="shared" si="0"/>
        <v>43266800000000</v>
      </c>
      <c r="CB15" s="17">
        <f t="shared" si="0"/>
        <v>43266800000000</v>
      </c>
      <c r="CC15" s="17">
        <f t="shared" si="0"/>
        <v>43266800000000</v>
      </c>
      <c r="CD15" s="17">
        <f t="shared" si="0"/>
        <v>43266800000000</v>
      </c>
      <c r="CE15" s="17">
        <f t="shared" si="0"/>
        <v>43266800000000</v>
      </c>
      <c r="CF15" s="17">
        <f t="shared" si="0"/>
        <v>43266800000000</v>
      </c>
      <c r="CG15" s="17">
        <f t="shared" si="0"/>
        <v>7970000000000</v>
      </c>
      <c r="CH15" s="17">
        <f t="shared" si="0"/>
        <v>7970000000000</v>
      </c>
      <c r="CI15" s="17">
        <f t="shared" si="0"/>
        <v>7970000000000</v>
      </c>
      <c r="CJ15" s="17">
        <f t="shared" si="0"/>
        <v>48450900000000</v>
      </c>
      <c r="CK15" s="17">
        <f t="shared" si="0"/>
        <v>10602600000000</v>
      </c>
      <c r="CL15" s="17">
        <f t="shared" si="0"/>
        <v>10602600000000</v>
      </c>
      <c r="CM15" s="17">
        <f t="shared" si="0"/>
        <v>10700000000000</v>
      </c>
      <c r="CN15" s="17">
        <f t="shared" si="0"/>
        <v>26281292000000</v>
      </c>
      <c r="CO15" s="17">
        <f t="shared" si="0"/>
        <v>10700000000000</v>
      </c>
      <c r="CP15" s="17">
        <f t="shared" si="0"/>
        <v>10700000000000</v>
      </c>
      <c r="CQ15" s="17">
        <f t="shared" si="0"/>
        <v>48450900000000</v>
      </c>
      <c r="CR15" s="17">
        <f t="shared" si="0"/>
        <v>43266800000000</v>
      </c>
      <c r="CS15" s="17">
        <f t="shared" ref="CS15:CY15" si="1">CS14*1000000</f>
        <v>7970000000000</v>
      </c>
      <c r="CT15" s="17">
        <f t="shared" si="1"/>
        <v>10602600000000</v>
      </c>
      <c r="CU15" s="17">
        <f t="shared" si="1"/>
        <v>4955000000000</v>
      </c>
      <c r="CV15" s="17">
        <f t="shared" si="1"/>
        <v>33780320000000</v>
      </c>
      <c r="CW15" s="17">
        <f t="shared" si="1"/>
        <v>33780320000000</v>
      </c>
      <c r="CX15" s="17">
        <f t="shared" si="1"/>
        <v>4955000000000</v>
      </c>
      <c r="CY15" s="17">
        <f t="shared" si="1"/>
        <v>2950000000000</v>
      </c>
    </row>
    <row r="16" spans="1:103" x14ac:dyDescent="0.25">
      <c r="A16" s="5" t="s">
        <v>207</v>
      </c>
      <c r="B16" s="18">
        <f>SUM(B4:B13)</f>
        <v>380.86500000000001</v>
      </c>
      <c r="C16" s="18">
        <f t="shared" ref="C16:BN16" si="2">SUM(C4:C13)</f>
        <v>21.017999999999997</v>
      </c>
      <c r="D16" s="18">
        <f t="shared" si="2"/>
        <v>9.2009999999999987</v>
      </c>
      <c r="E16" s="18">
        <f t="shared" si="2"/>
        <v>59.411000000000008</v>
      </c>
      <c r="F16" s="18">
        <f t="shared" si="2"/>
        <v>1.534</v>
      </c>
      <c r="G16" s="18">
        <f t="shared" si="2"/>
        <v>25.657</v>
      </c>
      <c r="H16" s="18">
        <f t="shared" si="2"/>
        <v>104.292</v>
      </c>
      <c r="I16" s="18">
        <f t="shared" si="2"/>
        <v>143.98799999999997</v>
      </c>
      <c r="J16" s="18">
        <f t="shared" si="2"/>
        <v>412.68799999999999</v>
      </c>
      <c r="K16" s="18">
        <f t="shared" si="2"/>
        <v>324.46100000000001</v>
      </c>
      <c r="L16" s="18">
        <f t="shared" si="2"/>
        <v>22.863999999999997</v>
      </c>
      <c r="M16" s="18">
        <f t="shared" si="2"/>
        <v>22.863999999999997</v>
      </c>
      <c r="N16" s="18">
        <f t="shared" si="2"/>
        <v>2.9990000000000006</v>
      </c>
      <c r="O16" s="18">
        <f t="shared" si="2"/>
        <v>3.2589999999999995</v>
      </c>
      <c r="P16" s="18">
        <f t="shared" si="2"/>
        <v>9.3230000000000004</v>
      </c>
      <c r="Q16" s="18">
        <f t="shared" si="2"/>
        <v>16.220000000000002</v>
      </c>
      <c r="R16" s="18">
        <f t="shared" si="2"/>
        <v>0.11600000000000001</v>
      </c>
      <c r="S16" s="18">
        <f t="shared" si="2"/>
        <v>18.004999999999999</v>
      </c>
      <c r="T16" s="18">
        <f t="shared" si="2"/>
        <v>16.761999999999997</v>
      </c>
      <c r="U16" s="18">
        <f t="shared" si="2"/>
        <v>18.928000000000001</v>
      </c>
      <c r="V16" s="18">
        <f t="shared" si="2"/>
        <v>16.093</v>
      </c>
      <c r="W16" s="18">
        <f t="shared" si="2"/>
        <v>6.4170000000000007</v>
      </c>
      <c r="X16" s="18">
        <f t="shared" si="2"/>
        <v>5.8680000000000003</v>
      </c>
      <c r="Y16" s="18">
        <f t="shared" si="2"/>
        <v>33.352000000000004</v>
      </c>
      <c r="Z16" s="18">
        <f t="shared" si="2"/>
        <v>44.073999999999998</v>
      </c>
      <c r="AA16" s="18">
        <f t="shared" si="2"/>
        <v>37.901000000000003</v>
      </c>
      <c r="AB16" s="18">
        <f t="shared" si="2"/>
        <v>7.7740000000000009</v>
      </c>
      <c r="AC16" s="18">
        <f t="shared" si="2"/>
        <v>74.784999999999997</v>
      </c>
      <c r="AD16" s="18">
        <f t="shared" si="2"/>
        <v>174.73500000000001</v>
      </c>
      <c r="AE16" s="18">
        <f t="shared" si="2"/>
        <v>72.310999999999993</v>
      </c>
      <c r="AF16" s="18">
        <f t="shared" si="2"/>
        <v>77.753999999999991</v>
      </c>
      <c r="AG16" s="18">
        <f t="shared" si="2"/>
        <v>6.7270000000000003</v>
      </c>
      <c r="AH16" s="18">
        <f t="shared" si="2"/>
        <v>18.768999999999998</v>
      </c>
      <c r="AI16" s="18">
        <f t="shared" si="2"/>
        <v>29.542000000000002</v>
      </c>
      <c r="AJ16" s="18">
        <f t="shared" si="2"/>
        <v>11.936999999999999</v>
      </c>
      <c r="AK16" s="18">
        <f t="shared" si="2"/>
        <v>11.936999999999999</v>
      </c>
      <c r="AL16" s="18">
        <f t="shared" si="2"/>
        <v>100.605</v>
      </c>
      <c r="AM16" s="18">
        <f t="shared" si="2"/>
        <v>42.917999999999999</v>
      </c>
      <c r="AN16" s="18">
        <f t="shared" si="2"/>
        <v>79.813999999999993</v>
      </c>
      <c r="AO16" s="18">
        <f t="shared" si="2"/>
        <v>113.03900000000002</v>
      </c>
      <c r="AP16" s="18">
        <f t="shared" si="2"/>
        <v>84.971999999999994</v>
      </c>
      <c r="AQ16" s="18">
        <f t="shared" si="2"/>
        <v>102.46000000000001</v>
      </c>
      <c r="AR16" s="18">
        <f t="shared" si="2"/>
        <v>153.17099999999999</v>
      </c>
      <c r="AS16" s="18">
        <f t="shared" si="2"/>
        <v>76.013000000000005</v>
      </c>
      <c r="AT16" s="18">
        <f t="shared" si="2"/>
        <v>66.396999999999991</v>
      </c>
      <c r="AU16" s="18">
        <f t="shared" si="2"/>
        <v>33.577999999999996</v>
      </c>
      <c r="AV16" s="18">
        <f t="shared" si="2"/>
        <v>18.082000000000001</v>
      </c>
      <c r="AW16" s="18">
        <f t="shared" si="2"/>
        <v>4.8879999999999999</v>
      </c>
      <c r="AX16" s="18">
        <f t="shared" si="2"/>
        <v>23.059000000000001</v>
      </c>
      <c r="AY16" s="18">
        <f t="shared" si="2"/>
        <v>129.57900000000001</v>
      </c>
      <c r="AZ16" s="18">
        <f t="shared" si="2"/>
        <v>10.644</v>
      </c>
      <c r="BA16" s="18">
        <f t="shared" si="2"/>
        <v>7.883</v>
      </c>
      <c r="BB16" s="18">
        <f t="shared" si="2"/>
        <v>6.8479999999999999</v>
      </c>
      <c r="BC16" s="18">
        <f t="shared" si="2"/>
        <v>3.1849999999999996</v>
      </c>
      <c r="BD16" s="18">
        <f t="shared" si="2"/>
        <v>13.632</v>
      </c>
      <c r="BE16" s="18">
        <f t="shared" si="2"/>
        <v>25.624000000000002</v>
      </c>
      <c r="BF16" s="18">
        <f t="shared" si="2"/>
        <v>23.923000000000005</v>
      </c>
      <c r="BG16" s="18">
        <f t="shared" si="2"/>
        <v>16.536999999999999</v>
      </c>
      <c r="BH16" s="18">
        <f t="shared" si="2"/>
        <v>37.802</v>
      </c>
      <c r="BI16" s="18">
        <f t="shared" si="2"/>
        <v>34.241999999999997</v>
      </c>
      <c r="BJ16" s="18">
        <f t="shared" si="2"/>
        <v>23.146000000000001</v>
      </c>
      <c r="BK16" s="18">
        <f t="shared" si="2"/>
        <v>56.203000000000003</v>
      </c>
      <c r="BL16" s="18">
        <f t="shared" si="2"/>
        <v>109.809</v>
      </c>
      <c r="BM16" s="18">
        <f t="shared" si="2"/>
        <v>166.38099999999997</v>
      </c>
      <c r="BN16" s="18">
        <f t="shared" si="2"/>
        <v>132.31800000000001</v>
      </c>
      <c r="BO16" s="18">
        <f t="shared" ref="BO16:CY16" si="3">SUM(BO4:BO13)</f>
        <v>186.27099999999999</v>
      </c>
      <c r="BP16" s="18">
        <f t="shared" si="3"/>
        <v>52.579000000000008</v>
      </c>
      <c r="BQ16" s="18">
        <f t="shared" si="3"/>
        <v>8.3119999999999994</v>
      </c>
      <c r="BR16" s="18">
        <f t="shared" si="3"/>
        <v>34.697000000000003</v>
      </c>
      <c r="BS16" s="18">
        <f t="shared" si="3"/>
        <v>31.099999999999998</v>
      </c>
      <c r="BT16" s="18">
        <f t="shared" si="3"/>
        <v>12.190000000000001</v>
      </c>
      <c r="BU16" s="18">
        <f t="shared" si="3"/>
        <v>13.381</v>
      </c>
      <c r="BV16" s="18">
        <f t="shared" si="3"/>
        <v>35.866999999999997</v>
      </c>
      <c r="BW16" s="18">
        <f t="shared" si="3"/>
        <v>6.3839999999999995</v>
      </c>
      <c r="BX16" s="18">
        <f t="shared" si="3"/>
        <v>1.891</v>
      </c>
      <c r="BY16" s="18">
        <f t="shared" si="3"/>
        <v>40.837999999999994</v>
      </c>
      <c r="BZ16" s="18">
        <f t="shared" si="3"/>
        <v>178.94499999999999</v>
      </c>
      <c r="CA16" s="18">
        <f t="shared" si="3"/>
        <v>158.239</v>
      </c>
      <c r="CB16" s="18">
        <f t="shared" si="3"/>
        <v>54.143999999999998</v>
      </c>
      <c r="CC16" s="18">
        <f t="shared" si="3"/>
        <v>145.56399999999999</v>
      </c>
      <c r="CD16" s="18">
        <f t="shared" si="3"/>
        <v>101.92299999999999</v>
      </c>
      <c r="CE16" s="18">
        <f t="shared" si="3"/>
        <v>151.63300000000001</v>
      </c>
      <c r="CF16" s="18">
        <f t="shared" si="3"/>
        <v>125.429</v>
      </c>
      <c r="CG16" s="18">
        <f t="shared" si="3"/>
        <v>39.589999999999996</v>
      </c>
      <c r="CH16" s="18">
        <f t="shared" si="3"/>
        <v>27.465000000000003</v>
      </c>
      <c r="CI16" s="18">
        <f t="shared" si="3"/>
        <v>21.511999999999997</v>
      </c>
      <c r="CJ16" s="18">
        <f t="shared" si="3"/>
        <v>53.205999999999996</v>
      </c>
      <c r="CK16" s="18">
        <f t="shared" si="3"/>
        <v>37.624000000000002</v>
      </c>
      <c r="CL16" s="18">
        <f t="shared" si="3"/>
        <v>29.247999999999998</v>
      </c>
      <c r="CM16" s="18">
        <f t="shared" si="3"/>
        <v>23.488999999999997</v>
      </c>
      <c r="CN16" s="18">
        <f t="shared" si="3"/>
        <v>62.461000000000006</v>
      </c>
      <c r="CO16" s="18">
        <f t="shared" si="3"/>
        <v>28.889000000000003</v>
      </c>
      <c r="CP16" s="18">
        <f t="shared" si="3"/>
        <v>15.880999999999998</v>
      </c>
      <c r="CQ16" s="18">
        <f t="shared" si="3"/>
        <v>218.53399999999999</v>
      </c>
      <c r="CR16" s="18">
        <f t="shared" si="3"/>
        <v>131.179</v>
      </c>
      <c r="CS16" s="18">
        <f t="shared" si="3"/>
        <v>26.722999999999999</v>
      </c>
      <c r="CT16" s="18">
        <f t="shared" si="3"/>
        <v>19.079999999999998</v>
      </c>
      <c r="CU16" s="18">
        <f t="shared" si="3"/>
        <v>3.9130000000000003</v>
      </c>
      <c r="CV16" s="18">
        <f t="shared" si="3"/>
        <v>73.908999999999992</v>
      </c>
      <c r="CW16" s="18">
        <f t="shared" si="3"/>
        <v>144.70799999999997</v>
      </c>
      <c r="CX16" s="18">
        <f t="shared" si="3"/>
        <v>16.141999999999999</v>
      </c>
      <c r="CY16" s="18">
        <f t="shared" si="3"/>
        <v>8.8299999999999983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Z37"/>
  <sheetViews>
    <sheetView topLeftCell="A43" workbookViewId="0">
      <selection activeCell="L60" sqref="L60"/>
    </sheetView>
  </sheetViews>
  <sheetFormatPr baseColWidth="10" defaultRowHeight="15" x14ac:dyDescent="0.25"/>
  <cols>
    <col min="2" max="2" width="28.28515625" customWidth="1"/>
  </cols>
  <sheetData>
    <row r="3" spans="2:104" ht="33.75" x14ac:dyDescent="0.25">
      <c r="B3" s="1" t="s">
        <v>0</v>
      </c>
      <c r="C3" s="4" t="s">
        <v>1</v>
      </c>
      <c r="D3" s="11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2" t="s">
        <v>9</v>
      </c>
      <c r="L3" s="2" t="s">
        <v>10</v>
      </c>
      <c r="M3" s="4" t="s">
        <v>11</v>
      </c>
      <c r="N3" s="3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3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129</v>
      </c>
      <c r="AH3" s="4" t="s">
        <v>130</v>
      </c>
      <c r="AI3" s="4" t="s">
        <v>131</v>
      </c>
      <c r="AJ3" s="4" t="s">
        <v>132</v>
      </c>
      <c r="AK3" s="4" t="s">
        <v>133</v>
      </c>
      <c r="AL3" s="4" t="s">
        <v>134</v>
      </c>
      <c r="AM3" s="4" t="s">
        <v>135</v>
      </c>
      <c r="AN3" s="4" t="s">
        <v>136</v>
      </c>
      <c r="AO3" s="4" t="s">
        <v>138</v>
      </c>
      <c r="AP3" s="4" t="s">
        <v>139</v>
      </c>
      <c r="AQ3" s="4" t="s">
        <v>140</v>
      </c>
      <c r="AR3" s="4" t="s">
        <v>141</v>
      </c>
      <c r="AS3" s="4" t="s">
        <v>142</v>
      </c>
      <c r="AT3" s="4" t="s">
        <v>143</v>
      </c>
      <c r="AU3" s="4" t="s">
        <v>144</v>
      </c>
      <c r="AV3" s="4" t="s">
        <v>145</v>
      </c>
      <c r="AW3" s="4" t="s">
        <v>146</v>
      </c>
      <c r="AX3" s="4" t="s">
        <v>147</v>
      </c>
      <c r="AY3" s="4" t="s">
        <v>148</v>
      </c>
      <c r="AZ3" s="4" t="s">
        <v>149</v>
      </c>
      <c r="BA3" s="4" t="s">
        <v>150</v>
      </c>
      <c r="BB3" s="4" t="s">
        <v>151</v>
      </c>
      <c r="BC3" s="4" t="s">
        <v>152</v>
      </c>
      <c r="BD3" s="4" t="s">
        <v>153</v>
      </c>
      <c r="BE3" s="4" t="s">
        <v>154</v>
      </c>
      <c r="BF3" s="4" t="s">
        <v>155</v>
      </c>
      <c r="BG3" s="4" t="s">
        <v>156</v>
      </c>
      <c r="BH3" s="4" t="s">
        <v>157</v>
      </c>
      <c r="BI3" s="4" t="s">
        <v>158</v>
      </c>
      <c r="BJ3" s="4" t="s">
        <v>159</v>
      </c>
      <c r="BK3" s="4" t="s">
        <v>160</v>
      </c>
      <c r="BL3" s="4" t="s">
        <v>161</v>
      </c>
      <c r="BM3" s="4" t="s">
        <v>162</v>
      </c>
      <c r="BN3" s="4" t="s">
        <v>163</v>
      </c>
      <c r="BO3" s="4" t="s">
        <v>164</v>
      </c>
      <c r="BP3" s="4" t="s">
        <v>165</v>
      </c>
      <c r="BQ3" s="4" t="s">
        <v>166</v>
      </c>
      <c r="BR3" s="4" t="s">
        <v>167</v>
      </c>
      <c r="BS3" s="3" t="s">
        <v>168</v>
      </c>
      <c r="BT3" s="3" t="s">
        <v>169</v>
      </c>
      <c r="BU3" s="3" t="s">
        <v>170</v>
      </c>
      <c r="BV3" s="3" t="s">
        <v>171</v>
      </c>
      <c r="BW3" s="3" t="s">
        <v>172</v>
      </c>
      <c r="BX3" s="4" t="s">
        <v>173</v>
      </c>
      <c r="BY3" s="4" t="s">
        <v>174</v>
      </c>
      <c r="BZ3" s="4" t="s">
        <v>175</v>
      </c>
      <c r="CA3" s="4" t="s">
        <v>176</v>
      </c>
      <c r="CB3" s="4" t="s">
        <v>177</v>
      </c>
      <c r="CC3" s="4" t="s">
        <v>178</v>
      </c>
      <c r="CD3" s="4" t="s">
        <v>179</v>
      </c>
      <c r="CE3" s="4" t="s">
        <v>180</v>
      </c>
      <c r="CF3" s="4" t="s">
        <v>181</v>
      </c>
      <c r="CG3" s="4" t="s">
        <v>182</v>
      </c>
      <c r="CH3" s="3" t="s">
        <v>183</v>
      </c>
      <c r="CI3" s="3" t="s">
        <v>184</v>
      </c>
      <c r="CJ3" s="3" t="s">
        <v>185</v>
      </c>
      <c r="CK3" s="4" t="s">
        <v>186</v>
      </c>
      <c r="CL3" s="4" t="s">
        <v>187</v>
      </c>
      <c r="CM3" s="4" t="s">
        <v>188</v>
      </c>
      <c r="CN3" s="3" t="s">
        <v>189</v>
      </c>
      <c r="CO3" s="4" t="s">
        <v>190</v>
      </c>
      <c r="CP3" s="3" t="s">
        <v>191</v>
      </c>
      <c r="CQ3" s="3" t="s">
        <v>192</v>
      </c>
      <c r="CR3" s="4" t="s">
        <v>193</v>
      </c>
      <c r="CS3" s="4" t="s">
        <v>194</v>
      </c>
      <c r="CT3" s="3" t="s">
        <v>195</v>
      </c>
      <c r="CU3" s="4" t="s">
        <v>196</v>
      </c>
      <c r="CV3" s="4" t="s">
        <v>197</v>
      </c>
      <c r="CW3" s="4" t="s">
        <v>198</v>
      </c>
      <c r="CX3" s="4" t="s">
        <v>199</v>
      </c>
      <c r="CY3" s="4" t="s">
        <v>200</v>
      </c>
      <c r="CZ3" s="4" t="s">
        <v>137</v>
      </c>
    </row>
    <row r="4" spans="2:104" ht="22.5" x14ac:dyDescent="0.25">
      <c r="B4" s="1" t="s">
        <v>31</v>
      </c>
      <c r="C4" s="5" t="s">
        <v>32</v>
      </c>
      <c r="D4" s="5" t="s">
        <v>33</v>
      </c>
      <c r="E4" s="5" t="s">
        <v>34</v>
      </c>
      <c r="F4" s="6">
        <v>40420</v>
      </c>
      <c r="G4" s="6">
        <v>41351</v>
      </c>
      <c r="H4" s="6">
        <v>43146</v>
      </c>
      <c r="I4" s="8">
        <v>43223</v>
      </c>
      <c r="J4" s="14">
        <v>43227</v>
      </c>
      <c r="K4" s="7">
        <v>43358</v>
      </c>
      <c r="L4" s="8">
        <v>43573</v>
      </c>
      <c r="M4" s="8">
        <v>37418</v>
      </c>
      <c r="N4" s="8">
        <v>37417</v>
      </c>
      <c r="O4" s="12" t="s">
        <v>35</v>
      </c>
      <c r="P4" s="9" t="s">
        <v>36</v>
      </c>
      <c r="Q4" s="8">
        <v>39671</v>
      </c>
      <c r="R4" s="8">
        <v>40755</v>
      </c>
      <c r="S4" s="9" t="s">
        <v>37</v>
      </c>
      <c r="T4" s="8">
        <v>34902</v>
      </c>
      <c r="U4" s="8">
        <v>35278</v>
      </c>
      <c r="V4" s="8">
        <v>35302</v>
      </c>
      <c r="W4" s="8">
        <v>36044</v>
      </c>
      <c r="X4" s="8">
        <v>37370</v>
      </c>
      <c r="Y4" s="8">
        <v>42894</v>
      </c>
      <c r="Z4" s="8">
        <v>43254</v>
      </c>
      <c r="AA4" s="8">
        <v>35329</v>
      </c>
      <c r="AB4" s="8">
        <v>35955</v>
      </c>
      <c r="AC4" s="8">
        <v>38804</v>
      </c>
      <c r="AD4" s="8">
        <v>42104</v>
      </c>
      <c r="AE4" s="8">
        <v>42142</v>
      </c>
      <c r="AF4" s="8">
        <v>43363</v>
      </c>
      <c r="AG4" s="8">
        <v>43569</v>
      </c>
      <c r="AH4" s="8">
        <v>40330</v>
      </c>
      <c r="AI4" s="6">
        <v>40697</v>
      </c>
      <c r="AJ4" s="6">
        <v>40354</v>
      </c>
      <c r="AK4" s="6">
        <v>42096</v>
      </c>
      <c r="AL4" s="6">
        <v>42097</v>
      </c>
      <c r="AM4" s="8">
        <v>34085</v>
      </c>
      <c r="AN4" s="8">
        <v>37332</v>
      </c>
      <c r="AO4" s="8">
        <v>38803</v>
      </c>
      <c r="AP4" s="8">
        <v>39944</v>
      </c>
      <c r="AQ4" s="8">
        <v>40365</v>
      </c>
      <c r="AR4" s="8">
        <v>41918</v>
      </c>
      <c r="AS4" s="8">
        <v>39974</v>
      </c>
      <c r="AT4" s="8">
        <v>39986</v>
      </c>
      <c r="AU4" s="8">
        <v>37385</v>
      </c>
      <c r="AV4" s="8">
        <v>35368</v>
      </c>
      <c r="AW4" s="8">
        <v>35321</v>
      </c>
      <c r="AX4" s="8">
        <v>31993</v>
      </c>
      <c r="AY4" s="8">
        <v>39940</v>
      </c>
      <c r="AZ4" s="8">
        <v>38845</v>
      </c>
      <c r="BA4" s="8">
        <v>41511</v>
      </c>
      <c r="BB4" s="8">
        <v>38797</v>
      </c>
      <c r="BC4" s="8">
        <v>38798</v>
      </c>
      <c r="BD4" s="8">
        <v>39898</v>
      </c>
      <c r="BE4" s="8">
        <v>39940</v>
      </c>
      <c r="BF4" s="8">
        <v>36218</v>
      </c>
      <c r="BG4" s="8">
        <v>39373</v>
      </c>
      <c r="BH4" s="8">
        <v>32469</v>
      </c>
      <c r="BI4" s="8">
        <v>30977</v>
      </c>
      <c r="BJ4" s="8">
        <v>40105</v>
      </c>
      <c r="BK4" s="8">
        <v>40133</v>
      </c>
      <c r="BL4" s="8">
        <v>39894</v>
      </c>
      <c r="BM4" s="8">
        <v>39914</v>
      </c>
      <c r="BN4" s="8">
        <v>39775</v>
      </c>
      <c r="BO4" s="8">
        <v>30582</v>
      </c>
      <c r="BP4" s="8">
        <v>31709</v>
      </c>
      <c r="BQ4" s="8">
        <v>39409</v>
      </c>
      <c r="BR4" s="8">
        <v>39609</v>
      </c>
      <c r="BS4" s="8">
        <v>40352</v>
      </c>
      <c r="BT4" s="8">
        <v>40356</v>
      </c>
      <c r="BU4" s="8">
        <v>30589</v>
      </c>
      <c r="BV4" s="8">
        <v>40133</v>
      </c>
      <c r="BW4" s="8">
        <v>40494</v>
      </c>
      <c r="BX4" s="8">
        <v>36293</v>
      </c>
      <c r="BY4" s="8">
        <v>31912</v>
      </c>
      <c r="BZ4" s="8">
        <v>30740</v>
      </c>
      <c r="CA4" s="8">
        <v>39684</v>
      </c>
      <c r="CB4" s="8">
        <v>35310</v>
      </c>
      <c r="CC4" s="8">
        <v>30795</v>
      </c>
      <c r="CD4" s="8">
        <v>39390</v>
      </c>
      <c r="CE4" s="8">
        <v>42679</v>
      </c>
      <c r="CF4" s="8">
        <v>30977</v>
      </c>
      <c r="CG4" s="8">
        <v>40512</v>
      </c>
      <c r="CH4" s="8">
        <v>40490</v>
      </c>
      <c r="CI4" s="8">
        <v>39686</v>
      </c>
      <c r="CJ4" s="8">
        <v>39904</v>
      </c>
      <c r="CK4" s="8">
        <v>32339</v>
      </c>
      <c r="CL4" s="8">
        <v>32401</v>
      </c>
      <c r="CM4" s="8">
        <v>32469</v>
      </c>
      <c r="CN4" s="8">
        <v>39348</v>
      </c>
      <c r="CO4" s="8">
        <v>42105</v>
      </c>
      <c r="CP4" s="8">
        <v>30075</v>
      </c>
      <c r="CQ4" s="8">
        <v>31918</v>
      </c>
      <c r="CR4" s="8">
        <v>43611</v>
      </c>
      <c r="CS4" s="8">
        <v>43561</v>
      </c>
      <c r="CT4" s="8">
        <v>43235</v>
      </c>
      <c r="CU4" s="8">
        <v>42833</v>
      </c>
      <c r="CV4" s="8">
        <v>43370</v>
      </c>
      <c r="CW4" s="8">
        <v>32248</v>
      </c>
      <c r="CX4" s="8">
        <v>43236</v>
      </c>
      <c r="CY4" s="8">
        <v>43611</v>
      </c>
      <c r="CZ4" s="8">
        <v>37385</v>
      </c>
    </row>
    <row r="5" spans="2:104" x14ac:dyDescent="0.25">
      <c r="B5" s="5" t="s">
        <v>127</v>
      </c>
      <c r="C5" s="10">
        <v>52.642000000000003</v>
      </c>
      <c r="D5" s="10">
        <v>2.4809999999999999</v>
      </c>
      <c r="E5" s="10">
        <v>1.7969999999999999</v>
      </c>
      <c r="F5" s="10">
        <v>3.129</v>
      </c>
      <c r="G5" s="10">
        <v>1.3360000000000001</v>
      </c>
      <c r="H5" s="10">
        <v>0</v>
      </c>
      <c r="I5" s="10">
        <v>19.033000000000001</v>
      </c>
      <c r="J5" s="10">
        <v>20.989000000000001</v>
      </c>
      <c r="K5" s="10">
        <v>1.5669999999999999</v>
      </c>
      <c r="L5" s="10">
        <v>30.74</v>
      </c>
      <c r="M5" s="13">
        <v>2.0379999999999998</v>
      </c>
      <c r="N5" s="13">
        <v>0</v>
      </c>
      <c r="O5" s="13">
        <v>0.32400000000000001</v>
      </c>
      <c r="P5" s="13">
        <v>0</v>
      </c>
      <c r="Q5" s="13">
        <v>3.7829999999999999</v>
      </c>
      <c r="R5" s="13">
        <v>1.3620000000000001</v>
      </c>
      <c r="S5" s="13">
        <v>0.27500000000000002</v>
      </c>
      <c r="T5" s="13">
        <v>0</v>
      </c>
      <c r="U5" s="13">
        <v>1.7669999999999999</v>
      </c>
      <c r="V5" s="13">
        <v>3.738</v>
      </c>
      <c r="W5" s="13">
        <v>0</v>
      </c>
      <c r="X5" s="13">
        <v>1.218</v>
      </c>
      <c r="Y5" s="13">
        <v>0.99399999999999999</v>
      </c>
      <c r="Z5" s="13">
        <v>3.3719999999999999</v>
      </c>
      <c r="AA5" s="13">
        <v>7.5869999999999997</v>
      </c>
      <c r="AB5" s="13">
        <v>3.7919999999999998</v>
      </c>
      <c r="AC5" s="13">
        <v>0</v>
      </c>
      <c r="AD5" s="13">
        <v>0</v>
      </c>
      <c r="AE5" s="13">
        <v>17.318999999999999</v>
      </c>
      <c r="AF5" s="13">
        <v>5.3780000000000001</v>
      </c>
      <c r="AG5" s="13">
        <v>4.133</v>
      </c>
      <c r="AH5" s="13">
        <v>0</v>
      </c>
      <c r="AI5" s="13">
        <v>2.766</v>
      </c>
      <c r="AJ5" s="13">
        <v>3.5009999999999999</v>
      </c>
      <c r="AK5" s="13">
        <v>0</v>
      </c>
      <c r="AL5" s="13">
        <v>1.581</v>
      </c>
      <c r="AM5" s="13">
        <v>16.193000000000001</v>
      </c>
      <c r="AN5" s="13">
        <v>11.082000000000001</v>
      </c>
      <c r="AO5" s="13">
        <v>2.2440000000000002</v>
      </c>
      <c r="AP5" s="13">
        <v>21.922999999999998</v>
      </c>
      <c r="AQ5" s="13">
        <v>28.518000000000001</v>
      </c>
      <c r="AR5" s="10">
        <v>78.858000000000004</v>
      </c>
      <c r="AS5" s="10">
        <v>56.59</v>
      </c>
      <c r="AT5" s="10">
        <v>10.407999999999999</v>
      </c>
      <c r="AU5" s="10">
        <v>0</v>
      </c>
      <c r="AV5" s="10">
        <v>7.7839999999999998</v>
      </c>
      <c r="AW5" s="10">
        <v>0</v>
      </c>
      <c r="AX5" s="10">
        <v>0.249</v>
      </c>
      <c r="AY5" s="10">
        <v>1.9790000000000001</v>
      </c>
      <c r="AZ5" s="10">
        <v>7.0709999999999997</v>
      </c>
      <c r="BA5" s="13">
        <v>0</v>
      </c>
      <c r="BB5" s="13">
        <v>0</v>
      </c>
      <c r="BC5" s="13">
        <v>3.7930000000000001</v>
      </c>
      <c r="BD5" s="13">
        <v>0.32600000000000001</v>
      </c>
      <c r="BE5" s="13">
        <v>1.518</v>
      </c>
      <c r="BF5" s="13">
        <v>0</v>
      </c>
      <c r="BG5" s="13">
        <v>7.9930000000000003</v>
      </c>
      <c r="BH5" s="13">
        <v>3.246</v>
      </c>
      <c r="BI5" s="10">
        <v>3.9790000000000001</v>
      </c>
      <c r="BJ5" s="10">
        <v>3.1259999999999999</v>
      </c>
      <c r="BK5" s="10">
        <v>6.5289999999999999</v>
      </c>
      <c r="BL5" s="13">
        <v>23.082999999999998</v>
      </c>
      <c r="BM5" s="13">
        <v>7.6239999999999997</v>
      </c>
      <c r="BN5" s="13">
        <v>9.9640000000000004</v>
      </c>
      <c r="BO5" s="13">
        <v>0</v>
      </c>
      <c r="BP5" s="13">
        <v>19.443000000000001</v>
      </c>
      <c r="BQ5" s="13">
        <v>20.969000000000001</v>
      </c>
      <c r="BR5" s="10">
        <v>0.51100000000000001</v>
      </c>
      <c r="BS5" s="10">
        <v>0</v>
      </c>
      <c r="BT5" s="10">
        <v>6.3369999999999997</v>
      </c>
      <c r="BU5" s="10">
        <v>2.57</v>
      </c>
      <c r="BV5" s="10">
        <v>6.8780000000000001</v>
      </c>
      <c r="BW5" s="10">
        <v>9.5510000000000002</v>
      </c>
      <c r="BX5" s="13">
        <v>1.282</v>
      </c>
      <c r="BY5" s="13">
        <v>0.72499999999999998</v>
      </c>
      <c r="BZ5" s="13">
        <v>11.21</v>
      </c>
      <c r="CA5" s="13">
        <v>11.932</v>
      </c>
      <c r="CB5" s="13">
        <v>27.19</v>
      </c>
      <c r="CC5" s="13">
        <v>20.02</v>
      </c>
      <c r="CD5" s="13">
        <v>0.82099999999999995</v>
      </c>
      <c r="CE5" s="13">
        <v>6.8869999999999996</v>
      </c>
      <c r="CF5" s="13">
        <v>19.381</v>
      </c>
      <c r="CG5" s="13">
        <v>11.211</v>
      </c>
      <c r="CH5" s="13">
        <v>2.4220000000000002</v>
      </c>
      <c r="CI5" s="13">
        <v>1.6779999999999999</v>
      </c>
      <c r="CJ5" s="13">
        <v>7.1840000000000002</v>
      </c>
      <c r="CK5" s="13">
        <v>2.9020000000000001</v>
      </c>
      <c r="CL5" s="13">
        <v>2.782</v>
      </c>
      <c r="CM5" s="13">
        <v>5.61</v>
      </c>
      <c r="CN5" s="13">
        <v>2.2050000000000001</v>
      </c>
      <c r="CO5" s="13">
        <v>12.443</v>
      </c>
      <c r="CP5" s="13">
        <v>6.3630000000000004</v>
      </c>
      <c r="CQ5" s="13">
        <v>1.5629999999999999</v>
      </c>
      <c r="CR5" s="13">
        <v>4.7270000000000003</v>
      </c>
      <c r="CS5" s="10">
        <v>43.752000000000002</v>
      </c>
      <c r="CT5" s="10">
        <v>3.1459999999999999</v>
      </c>
      <c r="CU5" s="10">
        <v>4.4379999999999997</v>
      </c>
      <c r="CV5" s="10">
        <v>1.665</v>
      </c>
      <c r="CW5" s="10">
        <v>5.6920000000000002</v>
      </c>
      <c r="CX5" s="10">
        <v>12.939</v>
      </c>
      <c r="CY5" s="10">
        <v>0</v>
      </c>
      <c r="CZ5" s="10">
        <v>0</v>
      </c>
    </row>
    <row r="6" spans="2:104" x14ac:dyDescent="0.25">
      <c r="B6" s="5" t="s">
        <v>126</v>
      </c>
      <c r="C6" s="10">
        <v>18.199000000000002</v>
      </c>
      <c r="D6" s="10">
        <v>2.4809999999999999</v>
      </c>
      <c r="E6" s="10">
        <v>0</v>
      </c>
      <c r="F6" s="10">
        <v>12.516</v>
      </c>
      <c r="G6" s="10">
        <v>0.33400000000000002</v>
      </c>
      <c r="H6" s="10">
        <v>0</v>
      </c>
      <c r="I6" s="10">
        <v>19.033000000000001</v>
      </c>
      <c r="J6" s="10">
        <v>10.012</v>
      </c>
      <c r="K6" s="10">
        <v>66.546000000000006</v>
      </c>
      <c r="L6" s="10">
        <v>103.611</v>
      </c>
      <c r="M6" s="13">
        <v>0</v>
      </c>
      <c r="N6" s="13">
        <v>4.8310000000000004</v>
      </c>
      <c r="O6" s="13">
        <v>0.432</v>
      </c>
      <c r="P6" s="13">
        <v>0</v>
      </c>
      <c r="Q6" s="13">
        <v>2.8889999999999998</v>
      </c>
      <c r="R6" s="13">
        <v>1.3620000000000001</v>
      </c>
      <c r="S6" s="13">
        <v>0</v>
      </c>
      <c r="T6" s="13">
        <v>3.3780000000000001</v>
      </c>
      <c r="U6" s="13">
        <v>1.5149999999999999</v>
      </c>
      <c r="V6" s="13">
        <v>3.1920000000000002</v>
      </c>
      <c r="W6" s="13">
        <v>2.3199999999999998</v>
      </c>
      <c r="X6" s="13">
        <v>1.827</v>
      </c>
      <c r="Y6" s="13">
        <v>0.99399999999999999</v>
      </c>
      <c r="Z6" s="13">
        <v>3.3719999999999999</v>
      </c>
      <c r="AA6" s="13">
        <v>20.707000000000001</v>
      </c>
      <c r="AB6" s="13">
        <v>3.6459999999999999</v>
      </c>
      <c r="AC6" s="13">
        <v>0.50800000000000001</v>
      </c>
      <c r="AD6" s="13">
        <v>0</v>
      </c>
      <c r="AE6" s="13">
        <v>33.670999999999999</v>
      </c>
      <c r="AF6" s="13">
        <v>10.756</v>
      </c>
      <c r="AG6" s="13">
        <v>6.3849999999999998</v>
      </c>
      <c r="AH6" s="13">
        <v>1.228</v>
      </c>
      <c r="AI6" s="13">
        <v>4.07</v>
      </c>
      <c r="AJ6" s="13">
        <v>7.7549999999999999</v>
      </c>
      <c r="AK6" s="13">
        <v>2.3719999999999999</v>
      </c>
      <c r="AL6" s="13">
        <v>0</v>
      </c>
      <c r="AM6" s="13">
        <v>2.1160000000000001</v>
      </c>
      <c r="AN6" s="13">
        <v>2.8479999999999999</v>
      </c>
      <c r="AO6" s="13">
        <v>0</v>
      </c>
      <c r="AP6" s="13">
        <v>13.561999999999999</v>
      </c>
      <c r="AQ6" s="13">
        <v>17.562999999999999</v>
      </c>
      <c r="AR6" s="10">
        <v>41.024000000000001</v>
      </c>
      <c r="AS6" s="10">
        <v>48.756</v>
      </c>
      <c r="AT6" s="10">
        <v>10.407999999999999</v>
      </c>
      <c r="AU6" s="10">
        <v>20.067</v>
      </c>
      <c r="AV6" s="10">
        <v>0</v>
      </c>
      <c r="AW6" s="10">
        <v>3.0489999999999999</v>
      </c>
      <c r="AX6" s="10">
        <v>0</v>
      </c>
      <c r="AY6" s="10">
        <v>1.9790000000000001</v>
      </c>
      <c r="AZ6" s="10">
        <v>3.5350000000000001</v>
      </c>
      <c r="BA6" s="13">
        <v>2.8740000000000001</v>
      </c>
      <c r="BB6" s="13">
        <v>0.84199999999999997</v>
      </c>
      <c r="BC6" s="13">
        <v>0</v>
      </c>
      <c r="BD6" s="13">
        <v>0</v>
      </c>
      <c r="BE6" s="13">
        <v>0.50600000000000001</v>
      </c>
      <c r="BF6" s="13">
        <v>0</v>
      </c>
      <c r="BG6" s="13">
        <v>2.923</v>
      </c>
      <c r="BH6" s="13">
        <v>0</v>
      </c>
      <c r="BI6" s="10">
        <v>0.36099999999999999</v>
      </c>
      <c r="BJ6" s="10">
        <v>9.3780000000000001</v>
      </c>
      <c r="BK6" s="10">
        <v>0</v>
      </c>
      <c r="BL6" s="13">
        <v>0</v>
      </c>
      <c r="BM6" s="13">
        <v>16.152999999999999</v>
      </c>
      <c r="BN6" s="13">
        <v>12.398999999999999</v>
      </c>
      <c r="BO6" s="13">
        <v>12.936999999999999</v>
      </c>
      <c r="BP6" s="13">
        <v>9.7219999999999995</v>
      </c>
      <c r="BQ6" s="13">
        <v>9.4290000000000003</v>
      </c>
      <c r="BR6" s="10">
        <v>0</v>
      </c>
      <c r="BS6" s="10">
        <v>0</v>
      </c>
      <c r="BT6" s="10">
        <v>3.169</v>
      </c>
      <c r="BU6" s="10">
        <v>0</v>
      </c>
      <c r="BV6" s="10">
        <v>0</v>
      </c>
      <c r="BW6" s="10">
        <v>0</v>
      </c>
      <c r="BX6" s="13">
        <v>1.7090000000000001</v>
      </c>
      <c r="BY6" s="13">
        <v>0</v>
      </c>
      <c r="BZ6" s="13">
        <v>0</v>
      </c>
      <c r="CA6" s="13">
        <v>24.305</v>
      </c>
      <c r="CB6" s="13">
        <v>20.445</v>
      </c>
      <c r="CC6" s="13">
        <v>15.884</v>
      </c>
      <c r="CD6" s="13">
        <v>0.995</v>
      </c>
      <c r="CE6" s="13">
        <v>6.8869999999999996</v>
      </c>
      <c r="CF6" s="13">
        <v>5.8239999999999998</v>
      </c>
      <c r="CG6" s="13">
        <v>33.89</v>
      </c>
      <c r="CH6" s="13">
        <v>3.0209999999999999</v>
      </c>
      <c r="CI6" s="13">
        <v>0.68300000000000005</v>
      </c>
      <c r="CJ6" s="13">
        <v>3.5920000000000001</v>
      </c>
      <c r="CK6" s="13">
        <v>0</v>
      </c>
      <c r="CL6" s="13">
        <v>6.9790000000000001</v>
      </c>
      <c r="CM6" s="13">
        <v>0</v>
      </c>
      <c r="CN6" s="13">
        <v>0</v>
      </c>
      <c r="CO6" s="13">
        <v>0</v>
      </c>
      <c r="CP6" s="13">
        <v>1.591</v>
      </c>
      <c r="CQ6" s="13">
        <v>0</v>
      </c>
      <c r="CR6" s="13">
        <v>35.567999999999998</v>
      </c>
      <c r="CS6" s="10">
        <v>52.99</v>
      </c>
      <c r="CT6" s="10">
        <v>2.5219999999999998</v>
      </c>
      <c r="CU6" s="10">
        <v>0</v>
      </c>
      <c r="CV6" s="10">
        <v>0</v>
      </c>
      <c r="CW6" s="10">
        <v>4.9089999999999998</v>
      </c>
      <c r="CX6" s="10">
        <v>11.148</v>
      </c>
      <c r="CY6" s="10">
        <v>2.4510000000000001</v>
      </c>
      <c r="CZ6" s="10">
        <v>2.931</v>
      </c>
    </row>
    <row r="7" spans="2:104" x14ac:dyDescent="0.25">
      <c r="B7" s="5" t="s">
        <v>38</v>
      </c>
      <c r="C7" s="10">
        <v>30.937999999999999</v>
      </c>
      <c r="D7" s="10">
        <v>0</v>
      </c>
      <c r="E7" s="10">
        <v>0.59899999999999998</v>
      </c>
      <c r="F7" s="10">
        <v>6.258</v>
      </c>
      <c r="G7" s="10">
        <v>0</v>
      </c>
      <c r="H7" s="10">
        <v>0</v>
      </c>
      <c r="I7" s="10">
        <v>6.3440000000000003</v>
      </c>
      <c r="J7" s="10">
        <v>23.913</v>
      </c>
      <c r="K7" s="10">
        <v>61.966000000000001</v>
      </c>
      <c r="L7" s="10">
        <v>0</v>
      </c>
      <c r="M7" s="13">
        <v>4.8310000000000004</v>
      </c>
      <c r="N7" s="13">
        <v>1.5209999999999999</v>
      </c>
      <c r="O7" s="13">
        <v>0.432</v>
      </c>
      <c r="P7" s="13">
        <v>0.26</v>
      </c>
      <c r="Q7" s="13">
        <v>0</v>
      </c>
      <c r="R7" s="13">
        <v>5.4480000000000004</v>
      </c>
      <c r="S7" s="13">
        <v>0.11600000000000001</v>
      </c>
      <c r="T7" s="13">
        <v>0</v>
      </c>
      <c r="U7" s="13">
        <v>0.75700000000000001</v>
      </c>
      <c r="V7" s="13">
        <v>2.6160000000000001</v>
      </c>
      <c r="W7" s="13">
        <v>1.74</v>
      </c>
      <c r="X7" s="13">
        <v>0</v>
      </c>
      <c r="Y7" s="13">
        <v>0</v>
      </c>
      <c r="Z7" s="13">
        <v>5.0590000000000002</v>
      </c>
      <c r="AA7" s="13">
        <v>8.5350000000000001</v>
      </c>
      <c r="AB7" s="13">
        <v>3.5</v>
      </c>
      <c r="AC7" s="13">
        <v>0.50800000000000001</v>
      </c>
      <c r="AD7" s="13">
        <v>14.403</v>
      </c>
      <c r="AE7" s="13">
        <v>0</v>
      </c>
      <c r="AF7" s="13">
        <v>0</v>
      </c>
      <c r="AG7" s="13">
        <v>4.133</v>
      </c>
      <c r="AH7" s="13">
        <v>0.61399999999999999</v>
      </c>
      <c r="AI7" s="13">
        <v>3.5550000000000002</v>
      </c>
      <c r="AJ7" s="13">
        <v>0</v>
      </c>
      <c r="AK7" s="13">
        <v>2.363</v>
      </c>
      <c r="AL7" s="13">
        <v>2.3719999999999999</v>
      </c>
      <c r="AM7" s="13">
        <v>5.5659999999999998</v>
      </c>
      <c r="AN7" s="13">
        <v>0</v>
      </c>
      <c r="AO7" s="13">
        <v>3.5939999999999999</v>
      </c>
      <c r="AP7" s="13">
        <v>2.1539999999999999</v>
      </c>
      <c r="AQ7" s="13">
        <v>14.601000000000001</v>
      </c>
      <c r="AR7" s="10">
        <v>15.523999999999999</v>
      </c>
      <c r="AS7" s="10">
        <v>18.863</v>
      </c>
      <c r="AT7" s="10">
        <v>5.7169999999999996</v>
      </c>
      <c r="AU7" s="10">
        <v>3.3439999999999999</v>
      </c>
      <c r="AV7" s="10">
        <v>15.568</v>
      </c>
      <c r="AW7" s="10">
        <v>1.423</v>
      </c>
      <c r="AX7" s="10">
        <v>0</v>
      </c>
      <c r="AY7" s="10">
        <v>1.4870000000000001</v>
      </c>
      <c r="AZ7" s="10">
        <v>12.728999999999999</v>
      </c>
      <c r="BA7" s="13">
        <v>0</v>
      </c>
      <c r="BB7" s="13">
        <v>0.84199999999999997</v>
      </c>
      <c r="BC7" s="13">
        <v>1.133</v>
      </c>
      <c r="BD7" s="13">
        <v>0</v>
      </c>
      <c r="BE7" s="13">
        <v>0.92700000000000005</v>
      </c>
      <c r="BF7" s="13">
        <v>9.7260000000000009</v>
      </c>
      <c r="BG7" s="13">
        <v>0</v>
      </c>
      <c r="BH7" s="13">
        <v>0</v>
      </c>
      <c r="BI7" s="10">
        <v>2.0099999999999998</v>
      </c>
      <c r="BJ7" s="10">
        <v>0.53</v>
      </c>
      <c r="BK7" s="10">
        <v>0</v>
      </c>
      <c r="BL7" s="13">
        <v>22.282</v>
      </c>
      <c r="BM7" s="13">
        <v>0</v>
      </c>
      <c r="BN7" s="13">
        <v>0</v>
      </c>
      <c r="BO7" s="13">
        <v>0</v>
      </c>
      <c r="BP7" s="13">
        <v>9.7219999999999995</v>
      </c>
      <c r="BQ7" s="13">
        <v>0</v>
      </c>
      <c r="BR7" s="10">
        <v>1.214</v>
      </c>
      <c r="BS7" s="10">
        <v>3.6419999999999999</v>
      </c>
      <c r="BT7" s="10">
        <v>1.87</v>
      </c>
      <c r="BU7" s="10">
        <v>0</v>
      </c>
      <c r="BV7" s="10">
        <v>0</v>
      </c>
      <c r="BW7" s="10">
        <v>0</v>
      </c>
      <c r="BX7" s="13">
        <v>0</v>
      </c>
      <c r="BY7" s="13">
        <v>0.26100000000000001</v>
      </c>
      <c r="BZ7" s="13">
        <v>0</v>
      </c>
      <c r="CA7" s="13">
        <v>37.290999999999997</v>
      </c>
      <c r="CB7" s="13">
        <v>9.0820000000000007</v>
      </c>
      <c r="CC7" s="13">
        <v>0</v>
      </c>
      <c r="CD7" s="13">
        <v>31.675000000000001</v>
      </c>
      <c r="CE7" s="13">
        <v>0</v>
      </c>
      <c r="CF7" s="13">
        <v>29.972000000000001</v>
      </c>
      <c r="CG7" s="13">
        <v>31.488</v>
      </c>
      <c r="CH7" s="13">
        <v>6.85</v>
      </c>
      <c r="CI7" s="13">
        <v>2.0470000000000002</v>
      </c>
      <c r="CJ7" s="13">
        <v>0.64400000000000002</v>
      </c>
      <c r="CK7" s="13">
        <v>0.79</v>
      </c>
      <c r="CL7" s="13">
        <v>8.9510000000000005</v>
      </c>
      <c r="CM7" s="13">
        <v>0</v>
      </c>
      <c r="CN7" s="13">
        <v>4.4109999999999996</v>
      </c>
      <c r="CO7" s="13">
        <v>0</v>
      </c>
      <c r="CP7" s="13">
        <v>4.7729999999999997</v>
      </c>
      <c r="CQ7" s="13">
        <v>0</v>
      </c>
      <c r="CR7" s="13">
        <v>14.964</v>
      </c>
      <c r="CS7" s="10">
        <v>1.3560000000000001</v>
      </c>
      <c r="CT7" s="10">
        <v>5.6310000000000002</v>
      </c>
      <c r="CU7" s="10">
        <v>0</v>
      </c>
      <c r="CV7" s="10">
        <v>0</v>
      </c>
      <c r="CW7" s="10">
        <v>2.5760000000000001</v>
      </c>
      <c r="CX7" s="10">
        <v>10.749000000000001</v>
      </c>
      <c r="CY7" s="10">
        <v>0.81699999999999995</v>
      </c>
      <c r="CZ7" s="10">
        <v>0</v>
      </c>
    </row>
    <row r="8" spans="2:104" x14ac:dyDescent="0.25">
      <c r="B8" s="5" t="s">
        <v>39</v>
      </c>
      <c r="C8" s="10">
        <v>41.232999999999997</v>
      </c>
      <c r="D8" s="10">
        <v>0</v>
      </c>
      <c r="E8" s="10">
        <v>0.59899999999999998</v>
      </c>
      <c r="F8" s="10">
        <v>3.129</v>
      </c>
      <c r="G8" s="10">
        <v>0</v>
      </c>
      <c r="H8" s="10">
        <v>0</v>
      </c>
      <c r="I8" s="10">
        <v>0</v>
      </c>
      <c r="J8" s="10">
        <v>31.722000000000001</v>
      </c>
      <c r="K8" s="10">
        <v>29.401</v>
      </c>
      <c r="L8" s="10">
        <v>54.860999999999997</v>
      </c>
      <c r="M8" s="13">
        <v>1.5209999999999999</v>
      </c>
      <c r="N8" s="13">
        <v>3.0430000000000001</v>
      </c>
      <c r="O8" s="13">
        <v>0.54700000000000004</v>
      </c>
      <c r="P8" s="13">
        <v>0.13</v>
      </c>
      <c r="Q8" s="13">
        <v>0</v>
      </c>
      <c r="R8" s="13">
        <v>4.0860000000000003</v>
      </c>
      <c r="S8" s="13">
        <v>0</v>
      </c>
      <c r="T8" s="13">
        <v>1.218</v>
      </c>
      <c r="U8" s="13">
        <v>1.5149999999999999</v>
      </c>
      <c r="V8" s="13">
        <v>2.2970000000000002</v>
      </c>
      <c r="W8" s="13">
        <v>0.57999999999999996</v>
      </c>
      <c r="X8" s="13">
        <v>1.218</v>
      </c>
      <c r="Y8" s="13">
        <v>0.84399999999999997</v>
      </c>
      <c r="Z8" s="13">
        <v>1.571</v>
      </c>
      <c r="AA8" s="13">
        <v>0</v>
      </c>
      <c r="AB8" s="13">
        <v>6.327</v>
      </c>
      <c r="AC8" s="13">
        <v>0.76200000000000001</v>
      </c>
      <c r="AD8" s="13">
        <v>15.22</v>
      </c>
      <c r="AE8" s="13">
        <v>48.441000000000003</v>
      </c>
      <c r="AF8" s="13">
        <v>0</v>
      </c>
      <c r="AG8" s="13">
        <v>5.7809999999999997</v>
      </c>
      <c r="AH8" s="13">
        <v>0</v>
      </c>
      <c r="AI8" s="13">
        <v>0</v>
      </c>
      <c r="AJ8" s="13">
        <v>1.179</v>
      </c>
      <c r="AK8" s="13">
        <v>0</v>
      </c>
      <c r="AL8" s="13">
        <v>2.363</v>
      </c>
      <c r="AM8" s="13">
        <v>4.5069999999999997</v>
      </c>
      <c r="AN8" s="13">
        <v>21.672999999999998</v>
      </c>
      <c r="AO8" s="13">
        <v>24.81</v>
      </c>
      <c r="AP8" s="13">
        <v>14.198</v>
      </c>
      <c r="AQ8" s="13">
        <v>0</v>
      </c>
      <c r="AR8" s="10">
        <v>0</v>
      </c>
      <c r="AS8" s="10">
        <v>0</v>
      </c>
      <c r="AT8" s="10">
        <v>8.5749999999999993</v>
      </c>
      <c r="AU8" s="10">
        <v>0</v>
      </c>
      <c r="AV8" s="10">
        <v>0</v>
      </c>
      <c r="AW8" s="10">
        <v>2.0680000000000001</v>
      </c>
      <c r="AX8" s="10">
        <v>0.995</v>
      </c>
      <c r="AY8" s="10">
        <v>1.4870000000000001</v>
      </c>
      <c r="AZ8" s="10">
        <v>27.934000000000001</v>
      </c>
      <c r="BA8" s="13">
        <v>0.40600000000000003</v>
      </c>
      <c r="BB8" s="13">
        <v>0.84199999999999997</v>
      </c>
      <c r="BC8" s="13">
        <v>1.133</v>
      </c>
      <c r="BD8" s="13">
        <v>0</v>
      </c>
      <c r="BE8" s="13">
        <v>1.855</v>
      </c>
      <c r="BF8" s="13">
        <v>0</v>
      </c>
      <c r="BG8" s="13">
        <v>0</v>
      </c>
      <c r="BH8" s="13">
        <v>0</v>
      </c>
      <c r="BI8" s="10">
        <v>0</v>
      </c>
      <c r="BJ8" s="10">
        <v>0</v>
      </c>
      <c r="BK8" s="10">
        <v>0</v>
      </c>
      <c r="BL8" s="13">
        <v>22.282</v>
      </c>
      <c r="BM8" s="13">
        <v>0</v>
      </c>
      <c r="BN8" s="13">
        <v>37.762999999999998</v>
      </c>
      <c r="BO8" s="13">
        <v>34.017000000000003</v>
      </c>
      <c r="BP8" s="13">
        <v>0</v>
      </c>
      <c r="BQ8" s="13">
        <v>13.231</v>
      </c>
      <c r="BR8" s="10">
        <v>1.7430000000000001</v>
      </c>
      <c r="BS8" s="10">
        <v>6.3769999999999998</v>
      </c>
      <c r="BT8" s="10">
        <v>5.4130000000000003</v>
      </c>
      <c r="BU8" s="10">
        <v>0</v>
      </c>
      <c r="BV8" s="10">
        <v>0</v>
      </c>
      <c r="BW8" s="10">
        <v>0</v>
      </c>
      <c r="BX8" s="13">
        <v>0</v>
      </c>
      <c r="BY8" s="13">
        <v>0</v>
      </c>
      <c r="BZ8" s="13">
        <v>1.9039999999999999</v>
      </c>
      <c r="CA8" s="13">
        <v>11.932</v>
      </c>
      <c r="CB8" s="13">
        <v>9.5329999999999995</v>
      </c>
      <c r="CC8" s="13">
        <v>0</v>
      </c>
      <c r="CD8" s="13">
        <v>16.297000000000001</v>
      </c>
      <c r="CE8" s="13">
        <v>0.26600000000000001</v>
      </c>
      <c r="CF8" s="13">
        <v>0</v>
      </c>
      <c r="CG8" s="13">
        <v>0</v>
      </c>
      <c r="CH8" s="13">
        <v>2.306</v>
      </c>
      <c r="CI8" s="13">
        <v>4.0949999999999998</v>
      </c>
      <c r="CJ8" s="13">
        <v>0.65400000000000003</v>
      </c>
      <c r="CK8" s="13">
        <v>0</v>
      </c>
      <c r="CL8" s="13">
        <v>4.6520000000000001</v>
      </c>
      <c r="CM8" s="13">
        <v>0</v>
      </c>
      <c r="CN8" s="13">
        <v>3.17</v>
      </c>
      <c r="CO8" s="13">
        <v>13.835000000000001</v>
      </c>
      <c r="CP8" s="13">
        <v>3.1819999999999999</v>
      </c>
      <c r="CQ8" s="13">
        <v>1.7609999999999999</v>
      </c>
      <c r="CR8" s="13">
        <v>46.036999999999999</v>
      </c>
      <c r="CS8" s="10">
        <v>0</v>
      </c>
      <c r="CT8" s="10">
        <v>0.83499999999999996</v>
      </c>
      <c r="CU8" s="10">
        <v>0</v>
      </c>
      <c r="CV8" s="10">
        <v>0.64100000000000001</v>
      </c>
      <c r="CW8" s="10">
        <v>2.6240000000000001</v>
      </c>
      <c r="CX8" s="10">
        <v>28.905999999999999</v>
      </c>
      <c r="CY8" s="10">
        <v>4.085</v>
      </c>
      <c r="CZ8" s="10">
        <v>0</v>
      </c>
    </row>
    <row r="9" spans="2:104" x14ac:dyDescent="0.25">
      <c r="B9" s="5" t="s">
        <v>40</v>
      </c>
      <c r="C9" s="10">
        <v>0</v>
      </c>
      <c r="D9" s="10">
        <v>0.58899999999999997</v>
      </c>
      <c r="E9" s="10">
        <v>2.661</v>
      </c>
      <c r="F9" s="10">
        <v>12.516</v>
      </c>
      <c r="G9" s="10">
        <v>0.24</v>
      </c>
      <c r="H9" s="10">
        <v>0</v>
      </c>
      <c r="I9" s="10">
        <v>20.571000000000002</v>
      </c>
      <c r="J9" s="10">
        <v>19.033000000000001</v>
      </c>
      <c r="K9" s="10">
        <v>62.831000000000003</v>
      </c>
      <c r="L9" s="10">
        <v>33.893999999999998</v>
      </c>
      <c r="M9" s="13">
        <v>3.0430000000000001</v>
      </c>
      <c r="N9" s="13">
        <v>3.0430000000000001</v>
      </c>
      <c r="O9" s="13">
        <v>0.13700000000000001</v>
      </c>
      <c r="P9" s="13">
        <v>0.13</v>
      </c>
      <c r="Q9" s="13">
        <v>1.325</v>
      </c>
      <c r="R9" s="13">
        <v>0</v>
      </c>
      <c r="S9" s="13">
        <v>0</v>
      </c>
      <c r="T9" s="13">
        <v>1.827</v>
      </c>
      <c r="U9" s="13">
        <v>1.5149999999999999</v>
      </c>
      <c r="V9" s="13">
        <v>1.895</v>
      </c>
      <c r="W9" s="13">
        <v>1.1599999999999999</v>
      </c>
      <c r="X9" s="13">
        <v>1.349</v>
      </c>
      <c r="Y9" s="13">
        <v>1.6890000000000001</v>
      </c>
      <c r="Z9" s="13">
        <v>4.1310000000000002</v>
      </c>
      <c r="AA9" s="13">
        <v>0</v>
      </c>
      <c r="AB9" s="13">
        <v>0</v>
      </c>
      <c r="AC9" s="13">
        <v>1.887</v>
      </c>
      <c r="AD9" s="13">
        <v>1.036</v>
      </c>
      <c r="AE9" s="13">
        <v>3.161</v>
      </c>
      <c r="AF9" s="13">
        <v>2.5510000000000002</v>
      </c>
      <c r="AG9" s="13">
        <v>7.726</v>
      </c>
      <c r="AH9" s="13">
        <v>0</v>
      </c>
      <c r="AI9" s="13">
        <v>0</v>
      </c>
      <c r="AJ9" s="13">
        <v>0</v>
      </c>
      <c r="AK9" s="13">
        <v>4.4669999999999996</v>
      </c>
      <c r="AL9" s="13">
        <v>0</v>
      </c>
      <c r="AM9" s="13">
        <v>17.754999999999999</v>
      </c>
      <c r="AN9" s="13">
        <v>0</v>
      </c>
      <c r="AO9" s="13">
        <v>3.08</v>
      </c>
      <c r="AP9" s="13">
        <v>13.88</v>
      </c>
      <c r="AQ9" s="13">
        <v>14.145</v>
      </c>
      <c r="AR9" s="10">
        <v>20.686</v>
      </c>
      <c r="AS9" s="10">
        <v>0</v>
      </c>
      <c r="AT9" s="10">
        <v>5.7169999999999996</v>
      </c>
      <c r="AU9" s="10">
        <v>0</v>
      </c>
      <c r="AV9" s="10">
        <v>0</v>
      </c>
      <c r="AW9" s="10">
        <v>1.665</v>
      </c>
      <c r="AX9" s="10">
        <v>1.077</v>
      </c>
      <c r="AY9" s="10">
        <v>1.4870000000000001</v>
      </c>
      <c r="AZ9" s="10">
        <v>20.95</v>
      </c>
      <c r="BA9" s="13">
        <v>0.79900000000000004</v>
      </c>
      <c r="BB9" s="13">
        <v>0</v>
      </c>
      <c r="BC9" s="13">
        <v>1.133</v>
      </c>
      <c r="BD9" s="13">
        <v>1.081</v>
      </c>
      <c r="BE9" s="13">
        <v>0.92700000000000005</v>
      </c>
      <c r="BF9" s="13">
        <v>0</v>
      </c>
      <c r="BG9" s="13">
        <v>2.2109999999999999</v>
      </c>
      <c r="BH9" s="13">
        <v>2.2919999999999998</v>
      </c>
      <c r="BI9" s="10">
        <v>15.676</v>
      </c>
      <c r="BJ9" s="10">
        <v>0</v>
      </c>
      <c r="BK9" s="10">
        <v>4.9539999999999997</v>
      </c>
      <c r="BL9" s="13">
        <v>0</v>
      </c>
      <c r="BM9" s="13">
        <v>8.0760000000000005</v>
      </c>
      <c r="BN9" s="13">
        <v>13.358000000000001</v>
      </c>
      <c r="BO9" s="13">
        <v>0</v>
      </c>
      <c r="BP9" s="13">
        <v>37.97</v>
      </c>
      <c r="BQ9" s="13">
        <v>0</v>
      </c>
      <c r="BR9" s="10">
        <v>1.0209999999999999</v>
      </c>
      <c r="BS9" s="10">
        <v>6.3769999999999998</v>
      </c>
      <c r="BT9" s="10">
        <v>0</v>
      </c>
      <c r="BU9" s="10">
        <v>0</v>
      </c>
      <c r="BV9" s="10">
        <v>0</v>
      </c>
      <c r="BW9" s="10">
        <v>5.8769999999999998</v>
      </c>
      <c r="BX9" s="13">
        <v>1.28</v>
      </c>
      <c r="BY9" s="13">
        <v>0</v>
      </c>
      <c r="BZ9" s="13">
        <v>11.673</v>
      </c>
      <c r="CA9" s="13">
        <v>0</v>
      </c>
      <c r="CB9" s="13">
        <v>1.863</v>
      </c>
      <c r="CC9" s="13">
        <v>0</v>
      </c>
      <c r="CD9" s="13">
        <v>32.545999999999999</v>
      </c>
      <c r="CE9" s="13">
        <v>27.66</v>
      </c>
      <c r="CF9" s="13">
        <v>31.724</v>
      </c>
      <c r="CG9" s="13">
        <v>0</v>
      </c>
      <c r="CH9" s="13">
        <v>2.6179999999999999</v>
      </c>
      <c r="CI9" s="13">
        <v>6.1420000000000003</v>
      </c>
      <c r="CJ9" s="13">
        <v>1.6279999999999999</v>
      </c>
      <c r="CK9" s="13">
        <v>5.8029999999999999</v>
      </c>
      <c r="CL9" s="13">
        <v>0</v>
      </c>
      <c r="CM9" s="13">
        <v>4.117</v>
      </c>
      <c r="CN9" s="13">
        <v>6.34</v>
      </c>
      <c r="CO9" s="13">
        <v>13.835000000000001</v>
      </c>
      <c r="CP9" s="13">
        <v>1.8080000000000001</v>
      </c>
      <c r="CQ9" s="13">
        <v>0</v>
      </c>
      <c r="CR9" s="13">
        <v>17.555</v>
      </c>
      <c r="CS9" s="10">
        <v>5.0490000000000004</v>
      </c>
      <c r="CT9" s="10">
        <v>1.4079999999999999</v>
      </c>
      <c r="CU9" s="10">
        <v>0</v>
      </c>
      <c r="CV9" s="10">
        <v>0</v>
      </c>
      <c r="CW9" s="10">
        <v>21.542000000000002</v>
      </c>
      <c r="CX9" s="10">
        <v>8.68</v>
      </c>
      <c r="CY9" s="10">
        <v>1.6339999999999999</v>
      </c>
      <c r="CZ9" s="10">
        <v>0.47599999999999998</v>
      </c>
    </row>
    <row r="10" spans="2:104" x14ac:dyDescent="0.25">
      <c r="B10" s="5" t="s">
        <v>125</v>
      </c>
      <c r="C10" s="10">
        <v>0</v>
      </c>
      <c r="D10" s="10">
        <v>0</v>
      </c>
      <c r="E10" s="10">
        <v>1.331</v>
      </c>
      <c r="F10" s="10">
        <v>0</v>
      </c>
      <c r="G10" s="10">
        <v>0.24</v>
      </c>
      <c r="H10" s="10">
        <v>0</v>
      </c>
      <c r="I10" s="10">
        <v>5.1660000000000004</v>
      </c>
      <c r="J10" s="10">
        <v>19.033000000000001</v>
      </c>
      <c r="K10" s="10">
        <v>0</v>
      </c>
      <c r="L10" s="10">
        <v>16.946999999999999</v>
      </c>
      <c r="M10" s="13">
        <v>3.0430000000000001</v>
      </c>
      <c r="N10" s="13">
        <v>0.67800000000000005</v>
      </c>
      <c r="O10" s="13">
        <v>0.27300000000000002</v>
      </c>
      <c r="P10" s="13">
        <v>0.64900000000000002</v>
      </c>
      <c r="Q10" s="13">
        <v>1.325</v>
      </c>
      <c r="R10" s="13">
        <v>4.0860000000000003</v>
      </c>
      <c r="S10" s="13">
        <v>0</v>
      </c>
      <c r="T10" s="13">
        <v>2.7829999999999999</v>
      </c>
      <c r="U10" s="13">
        <v>2.2719999999999998</v>
      </c>
      <c r="V10" s="13">
        <v>2.343</v>
      </c>
      <c r="W10" s="13">
        <v>2.3199999999999998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0.47199999999999998</v>
      </c>
      <c r="AD10" s="13">
        <v>6.9139999999999997</v>
      </c>
      <c r="AE10" s="13">
        <v>35.988999999999997</v>
      </c>
      <c r="AF10" s="13">
        <v>13.157</v>
      </c>
      <c r="AG10" s="13">
        <v>6.4409999999999998</v>
      </c>
      <c r="AH10" s="13">
        <v>0.61399999999999999</v>
      </c>
      <c r="AI10" s="13">
        <v>0</v>
      </c>
      <c r="AJ10" s="13">
        <v>4.7149999999999999</v>
      </c>
      <c r="AK10" s="13">
        <v>0.78800000000000003</v>
      </c>
      <c r="AL10" s="13">
        <v>4.4669999999999996</v>
      </c>
      <c r="AM10" s="13">
        <v>11.131</v>
      </c>
      <c r="AN10" s="13">
        <v>14.903</v>
      </c>
      <c r="AO10" s="13">
        <v>8.3629999999999995</v>
      </c>
      <c r="AP10" s="13">
        <v>4.6269999999999998</v>
      </c>
      <c r="AQ10" s="13">
        <v>0</v>
      </c>
      <c r="AR10" s="10">
        <v>1.964</v>
      </c>
      <c r="AS10" s="10">
        <v>16.645</v>
      </c>
      <c r="AT10" s="10">
        <v>5.7169999999999996</v>
      </c>
      <c r="AU10" s="10">
        <v>2.7759999999999998</v>
      </c>
      <c r="AV10" s="10">
        <v>9.0640000000000001</v>
      </c>
      <c r="AW10" s="10">
        <v>0.61099999999999999</v>
      </c>
      <c r="AX10" s="10">
        <v>0.35899999999999999</v>
      </c>
      <c r="AY10" s="10">
        <v>7.4349999999999996</v>
      </c>
      <c r="AZ10" s="10">
        <v>7.4039999999999999</v>
      </c>
      <c r="BA10" s="13">
        <v>0.60899999999999999</v>
      </c>
      <c r="BB10" s="13">
        <v>0.96199999999999997</v>
      </c>
      <c r="BC10" s="13">
        <v>0</v>
      </c>
      <c r="BD10" s="13">
        <v>0.54100000000000004</v>
      </c>
      <c r="BE10" s="13">
        <v>3.7090000000000001</v>
      </c>
      <c r="BF10" s="13">
        <v>4.8630000000000004</v>
      </c>
      <c r="BG10" s="13">
        <v>0</v>
      </c>
      <c r="BH10" s="13">
        <v>2.2919999999999998</v>
      </c>
      <c r="BI10" s="10">
        <v>0</v>
      </c>
      <c r="BJ10" s="10">
        <v>0</v>
      </c>
      <c r="BK10" s="10">
        <v>5.3410000000000002</v>
      </c>
      <c r="BL10" s="13">
        <v>1.841</v>
      </c>
      <c r="BM10" s="13">
        <v>0</v>
      </c>
      <c r="BN10" s="13">
        <v>0</v>
      </c>
      <c r="BO10" s="13">
        <v>8.0419999999999998</v>
      </c>
      <c r="BP10" s="13">
        <v>28.478000000000002</v>
      </c>
      <c r="BQ10" s="13">
        <v>0</v>
      </c>
      <c r="BR10" s="10">
        <v>0.34100000000000003</v>
      </c>
      <c r="BS10" s="10">
        <v>0</v>
      </c>
      <c r="BT10" s="10">
        <v>0</v>
      </c>
      <c r="BU10" s="10">
        <v>3.64</v>
      </c>
      <c r="BV10" s="10">
        <v>0</v>
      </c>
      <c r="BW10" s="10">
        <v>0</v>
      </c>
      <c r="BX10" s="13">
        <v>0.42699999999999999</v>
      </c>
      <c r="BY10" s="13">
        <v>0.70399999999999996</v>
      </c>
      <c r="BZ10" s="13">
        <v>0</v>
      </c>
      <c r="CA10" s="13">
        <v>27.349</v>
      </c>
      <c r="CB10" s="13">
        <v>15.426</v>
      </c>
      <c r="CC10" s="13">
        <v>0</v>
      </c>
      <c r="CD10" s="13">
        <v>16.273</v>
      </c>
      <c r="CE10" s="13">
        <v>8.9280000000000008</v>
      </c>
      <c r="CF10" s="13">
        <v>22.713999999999999</v>
      </c>
      <c r="CG10" s="13">
        <v>8.1929999999999996</v>
      </c>
      <c r="CH10" s="13">
        <v>3.7080000000000002</v>
      </c>
      <c r="CI10" s="13">
        <v>2.0470000000000002</v>
      </c>
      <c r="CJ10" s="13">
        <v>1.9259999999999999</v>
      </c>
      <c r="CK10" s="13">
        <v>7.6539999999999999</v>
      </c>
      <c r="CL10" s="13">
        <v>0</v>
      </c>
      <c r="CM10" s="13">
        <v>3.8839999999999999</v>
      </c>
      <c r="CN10" s="13">
        <v>1.514</v>
      </c>
      <c r="CO10" s="13">
        <v>7.5750000000000002</v>
      </c>
      <c r="CP10" s="13">
        <v>0</v>
      </c>
      <c r="CQ10" s="13">
        <v>8.8059999999999992</v>
      </c>
      <c r="CR10" s="13">
        <v>7.6369999999999996</v>
      </c>
      <c r="CS10" s="10">
        <v>44.564</v>
      </c>
      <c r="CT10" s="10">
        <v>0</v>
      </c>
      <c r="CU10" s="10">
        <v>1.573</v>
      </c>
      <c r="CV10" s="10">
        <v>1.282</v>
      </c>
      <c r="CW10" s="10">
        <v>8.98</v>
      </c>
      <c r="CX10" s="10">
        <v>9.0779999999999994</v>
      </c>
      <c r="CY10" s="10">
        <v>0</v>
      </c>
      <c r="CZ10" s="10">
        <v>0.47599999999999998</v>
      </c>
    </row>
    <row r="11" spans="2:104" x14ac:dyDescent="0.25">
      <c r="B11" s="5" t="s">
        <v>41</v>
      </c>
      <c r="C11" s="10">
        <v>0</v>
      </c>
      <c r="D11" s="10">
        <v>6.3659999999999997</v>
      </c>
      <c r="E11" s="10">
        <v>0.66500000000000004</v>
      </c>
      <c r="F11" s="10">
        <v>11.631</v>
      </c>
      <c r="G11" s="10">
        <v>0.72</v>
      </c>
      <c r="H11" s="10">
        <v>0</v>
      </c>
      <c r="I11" s="10">
        <v>8.1940000000000008</v>
      </c>
      <c r="J11" s="10">
        <v>6.3440000000000003</v>
      </c>
      <c r="K11" s="10">
        <v>33.981000000000002</v>
      </c>
      <c r="L11" s="10">
        <v>0</v>
      </c>
      <c r="M11" s="13">
        <v>0.67800000000000005</v>
      </c>
      <c r="N11" s="13">
        <v>1.3879999999999999</v>
      </c>
      <c r="O11" s="13">
        <v>0.27300000000000002</v>
      </c>
      <c r="P11" s="13">
        <v>0.38</v>
      </c>
      <c r="Q11" s="13">
        <v>2.1800000000000002</v>
      </c>
      <c r="R11" s="13">
        <v>0</v>
      </c>
      <c r="S11" s="13">
        <v>0</v>
      </c>
      <c r="T11" s="13">
        <v>3.4790000000000001</v>
      </c>
      <c r="U11" s="13">
        <v>3.03</v>
      </c>
      <c r="V11" s="13">
        <v>1.0249999999999999</v>
      </c>
      <c r="W11" s="13">
        <v>2.4529999999999998</v>
      </c>
      <c r="X11" s="13">
        <v>1.349</v>
      </c>
      <c r="Y11" s="13">
        <v>0.42199999999999999</v>
      </c>
      <c r="Z11" s="13">
        <v>6.2859999999999996</v>
      </c>
      <c r="AA11" s="13">
        <v>2.7730000000000001</v>
      </c>
      <c r="AB11" s="13">
        <v>3.99</v>
      </c>
      <c r="AC11" s="13">
        <v>1.415</v>
      </c>
      <c r="AD11" s="13">
        <v>3.915</v>
      </c>
      <c r="AE11" s="13">
        <v>0</v>
      </c>
      <c r="AF11" s="13">
        <v>22.847000000000001</v>
      </c>
      <c r="AG11" s="13">
        <v>5.8019999999999996</v>
      </c>
      <c r="AH11" s="13">
        <v>1.228</v>
      </c>
      <c r="AI11" s="13">
        <v>0</v>
      </c>
      <c r="AJ11" s="13">
        <v>7.2839999999999998</v>
      </c>
      <c r="AK11" s="13">
        <v>1.159</v>
      </c>
      <c r="AL11" s="13">
        <v>0.78800000000000003</v>
      </c>
      <c r="AM11" s="13">
        <v>5.2060000000000004</v>
      </c>
      <c r="AN11" s="13">
        <v>0</v>
      </c>
      <c r="AO11" s="13">
        <v>1.764</v>
      </c>
      <c r="AP11" s="13">
        <v>8.1280000000000001</v>
      </c>
      <c r="AQ11" s="13">
        <v>0.88900000000000001</v>
      </c>
      <c r="AR11" s="10">
        <v>0</v>
      </c>
      <c r="AS11" s="10">
        <v>24.968</v>
      </c>
      <c r="AT11" s="10">
        <v>2.8580000000000001</v>
      </c>
      <c r="AU11" s="10">
        <v>5.5519999999999996</v>
      </c>
      <c r="AV11" s="10">
        <v>0</v>
      </c>
      <c r="AW11" s="10">
        <v>0.84599999999999997</v>
      </c>
      <c r="AX11" s="10">
        <v>0.71799999999999997</v>
      </c>
      <c r="AY11" s="10">
        <v>1.4870000000000001</v>
      </c>
      <c r="AZ11" s="10">
        <v>20.95</v>
      </c>
      <c r="BA11" s="13">
        <v>0.66200000000000003</v>
      </c>
      <c r="BB11" s="13">
        <v>0</v>
      </c>
      <c r="BC11" s="13">
        <v>1.2949999999999999</v>
      </c>
      <c r="BD11" s="13">
        <v>1.042</v>
      </c>
      <c r="BE11" s="13">
        <v>0.92700000000000005</v>
      </c>
      <c r="BF11" s="13">
        <v>2.431</v>
      </c>
      <c r="BG11" s="13">
        <v>3.621</v>
      </c>
      <c r="BH11" s="13">
        <v>4.5839999999999996</v>
      </c>
      <c r="BI11" s="10">
        <v>0</v>
      </c>
      <c r="BJ11" s="10">
        <v>4.867</v>
      </c>
      <c r="BK11" s="10">
        <v>2.6280000000000001</v>
      </c>
      <c r="BL11" s="13">
        <v>0</v>
      </c>
      <c r="BM11" s="13">
        <v>0</v>
      </c>
      <c r="BN11" s="13">
        <v>37.762999999999998</v>
      </c>
      <c r="BO11" s="13">
        <v>22.678000000000001</v>
      </c>
      <c r="BP11" s="13">
        <v>18.984999999999999</v>
      </c>
      <c r="BQ11" s="13">
        <v>15.704000000000001</v>
      </c>
      <c r="BR11" s="10">
        <v>0</v>
      </c>
      <c r="BS11" s="10">
        <v>4.2519999999999998</v>
      </c>
      <c r="BT11" s="10">
        <v>3.6419999999999999</v>
      </c>
      <c r="BU11" s="10">
        <v>0</v>
      </c>
      <c r="BV11" s="10">
        <v>3.23</v>
      </c>
      <c r="BW11" s="10">
        <v>11.754</v>
      </c>
      <c r="BX11" s="13">
        <v>0.85299999999999998</v>
      </c>
      <c r="BY11" s="13">
        <v>0.61599999999999999</v>
      </c>
      <c r="BZ11" s="13">
        <v>11.061</v>
      </c>
      <c r="CA11" s="13">
        <v>8.4499999999999993</v>
      </c>
      <c r="CB11" s="13">
        <v>9.5630000000000006</v>
      </c>
      <c r="CC11" s="13">
        <v>15.457000000000001</v>
      </c>
      <c r="CD11" s="13">
        <v>0</v>
      </c>
      <c r="CE11" s="13">
        <v>0</v>
      </c>
      <c r="CF11" s="13">
        <v>0</v>
      </c>
      <c r="CG11" s="13">
        <v>0</v>
      </c>
      <c r="CH11" s="13">
        <v>4.0419999999999998</v>
      </c>
      <c r="CI11" s="13">
        <v>0</v>
      </c>
      <c r="CJ11" s="13">
        <v>2.593</v>
      </c>
      <c r="CK11" s="13">
        <v>0</v>
      </c>
      <c r="CL11" s="13">
        <v>4.5359999999999996</v>
      </c>
      <c r="CM11" s="13">
        <v>8.234</v>
      </c>
      <c r="CN11" s="13">
        <v>0</v>
      </c>
      <c r="CO11" s="13">
        <v>7.03</v>
      </c>
      <c r="CP11" s="13">
        <v>5.423</v>
      </c>
      <c r="CQ11" s="13">
        <v>2.657</v>
      </c>
      <c r="CR11" s="13">
        <v>28.388999999999999</v>
      </c>
      <c r="CS11" s="10">
        <v>9.657</v>
      </c>
      <c r="CT11" s="10">
        <v>0.56100000000000005</v>
      </c>
      <c r="CU11" s="10">
        <v>0</v>
      </c>
      <c r="CV11" s="10">
        <v>0</v>
      </c>
      <c r="CW11" s="10">
        <v>6.4550000000000001</v>
      </c>
      <c r="CX11" s="10">
        <v>0</v>
      </c>
      <c r="CY11" s="10">
        <v>1.59</v>
      </c>
      <c r="CZ11" s="10">
        <v>1.903</v>
      </c>
    </row>
    <row r="12" spans="2:104" x14ac:dyDescent="0.25">
      <c r="B12" s="5" t="s">
        <v>124</v>
      </c>
      <c r="C12" s="10">
        <v>10.537000000000001</v>
      </c>
      <c r="D12" s="10">
        <v>6.3659999999999997</v>
      </c>
      <c r="E12" s="10">
        <v>0.66500000000000004</v>
      </c>
      <c r="F12" s="10">
        <v>0</v>
      </c>
      <c r="G12" s="10">
        <v>0</v>
      </c>
      <c r="H12" s="10">
        <v>0</v>
      </c>
      <c r="I12" s="10">
        <v>15.401</v>
      </c>
      <c r="J12" s="10">
        <v>0</v>
      </c>
      <c r="K12" s="10">
        <v>34.159999999999997</v>
      </c>
      <c r="L12" s="10">
        <v>15.513999999999999</v>
      </c>
      <c r="M12" s="13">
        <v>1.3879999999999999</v>
      </c>
      <c r="N12" s="13">
        <v>2.1</v>
      </c>
      <c r="O12" s="13">
        <v>0.41</v>
      </c>
      <c r="P12" s="13">
        <v>0.19</v>
      </c>
      <c r="Q12" s="13">
        <v>0</v>
      </c>
      <c r="R12" s="13">
        <v>1.238</v>
      </c>
      <c r="S12" s="13">
        <v>0</v>
      </c>
      <c r="T12" s="13">
        <v>0</v>
      </c>
      <c r="U12" s="13">
        <v>0.94699999999999995</v>
      </c>
      <c r="V12" s="13">
        <v>1.0249999999999999</v>
      </c>
      <c r="W12" s="13">
        <v>1.84</v>
      </c>
      <c r="X12" s="13">
        <v>0</v>
      </c>
      <c r="Y12" s="13">
        <v>0.42199999999999999</v>
      </c>
      <c r="Z12" s="13">
        <v>4.0220000000000002</v>
      </c>
      <c r="AA12" s="13">
        <v>6.9610000000000003</v>
      </c>
      <c r="AB12" s="13">
        <v>0</v>
      </c>
      <c r="AC12" s="13">
        <v>0.85299999999999998</v>
      </c>
      <c r="AD12" s="13">
        <v>10.909000000000001</v>
      </c>
      <c r="AE12" s="13">
        <v>18.268000000000001</v>
      </c>
      <c r="AF12" s="13">
        <v>0</v>
      </c>
      <c r="AG12" s="13">
        <v>0</v>
      </c>
      <c r="AH12" s="13">
        <v>0.76100000000000001</v>
      </c>
      <c r="AI12" s="13">
        <v>0</v>
      </c>
      <c r="AJ12" s="13">
        <v>0</v>
      </c>
      <c r="AK12" s="13">
        <v>0.78800000000000003</v>
      </c>
      <c r="AL12" s="13">
        <v>1.159</v>
      </c>
      <c r="AM12" s="13">
        <v>10.704000000000001</v>
      </c>
      <c r="AN12" s="13">
        <v>0</v>
      </c>
      <c r="AO12" s="13">
        <v>7.8659999999999997</v>
      </c>
      <c r="AP12" s="13">
        <v>8.1280000000000001</v>
      </c>
      <c r="AQ12" s="13">
        <v>12.557</v>
      </c>
      <c r="AR12" s="10">
        <v>9.3339999999999996</v>
      </c>
      <c r="AS12" s="10">
        <v>15.045999999999999</v>
      </c>
      <c r="AT12" s="10">
        <v>3.702</v>
      </c>
      <c r="AU12" s="10">
        <v>2.7759999999999998</v>
      </c>
      <c r="AV12" s="10">
        <v>6.0430000000000001</v>
      </c>
      <c r="AW12" s="10">
        <v>4.37</v>
      </c>
      <c r="AX12" s="10">
        <v>0</v>
      </c>
      <c r="AY12" s="10">
        <v>2.3090000000000002</v>
      </c>
      <c r="AZ12" s="10">
        <v>6.5629999999999997</v>
      </c>
      <c r="BA12" s="13">
        <v>0.68600000000000005</v>
      </c>
      <c r="BB12" s="13">
        <v>0</v>
      </c>
      <c r="BC12" s="13">
        <v>0.161</v>
      </c>
      <c r="BD12" s="13">
        <v>0</v>
      </c>
      <c r="BE12" s="13">
        <v>0.86899999999999999</v>
      </c>
      <c r="BF12" s="13">
        <v>5.7359999999999998</v>
      </c>
      <c r="BG12" s="13">
        <v>3.621</v>
      </c>
      <c r="BH12" s="13">
        <v>1.4259999999999999</v>
      </c>
      <c r="BI12" s="10">
        <v>7.851</v>
      </c>
      <c r="BJ12" s="10">
        <v>14.6</v>
      </c>
      <c r="BK12" s="10">
        <v>4.7530000000000001</v>
      </c>
      <c r="BL12" s="13">
        <v>9.798</v>
      </c>
      <c r="BM12" s="13">
        <v>16.154</v>
      </c>
      <c r="BN12" s="13">
        <v>0</v>
      </c>
      <c r="BO12" s="13">
        <v>19.381</v>
      </c>
      <c r="BP12" s="13">
        <v>7.0030000000000001</v>
      </c>
      <c r="BQ12" s="13">
        <v>0</v>
      </c>
      <c r="BR12" s="10">
        <v>1.01</v>
      </c>
      <c r="BS12" s="10">
        <v>2.1259999999999999</v>
      </c>
      <c r="BT12" s="10">
        <v>6.3769999999999998</v>
      </c>
      <c r="BU12" s="10">
        <v>0</v>
      </c>
      <c r="BV12" s="10">
        <v>6.46</v>
      </c>
      <c r="BW12" s="10">
        <v>2.9119999999999999</v>
      </c>
      <c r="BX12" s="13">
        <v>0.42699999999999999</v>
      </c>
      <c r="BY12" s="13">
        <v>0</v>
      </c>
      <c r="BZ12" s="13">
        <v>4.931</v>
      </c>
      <c r="CA12" s="13">
        <v>0.40200000000000002</v>
      </c>
      <c r="CB12" s="13">
        <v>32.271000000000001</v>
      </c>
      <c r="CC12" s="13">
        <v>0</v>
      </c>
      <c r="CD12" s="13">
        <v>0</v>
      </c>
      <c r="CE12" s="13">
        <v>26.783000000000001</v>
      </c>
      <c r="CF12" s="13">
        <v>31.986999999999998</v>
      </c>
      <c r="CG12" s="13">
        <v>18.405999999999999</v>
      </c>
      <c r="CH12" s="13">
        <v>3.2010000000000001</v>
      </c>
      <c r="CI12" s="13">
        <v>4.8170000000000002</v>
      </c>
      <c r="CJ12" s="13">
        <v>0.35899999999999999</v>
      </c>
      <c r="CK12" s="13">
        <v>0</v>
      </c>
      <c r="CL12" s="13">
        <v>0.754</v>
      </c>
      <c r="CM12" s="13">
        <v>0.74299999999999999</v>
      </c>
      <c r="CN12" s="13">
        <v>0</v>
      </c>
      <c r="CO12" s="13">
        <v>4.0369999999999999</v>
      </c>
      <c r="CP12" s="13">
        <v>5.423</v>
      </c>
      <c r="CQ12" s="13">
        <v>0</v>
      </c>
      <c r="CR12" s="13">
        <v>1.48</v>
      </c>
      <c r="CS12" s="10">
        <v>0</v>
      </c>
      <c r="CT12" s="10">
        <v>0</v>
      </c>
      <c r="CU12" s="10">
        <v>1.625</v>
      </c>
      <c r="CV12" s="10">
        <v>0.995</v>
      </c>
      <c r="CW12" s="10">
        <v>3.4020000000000001</v>
      </c>
      <c r="CX12" s="10">
        <v>9.3350000000000009</v>
      </c>
      <c r="CY12" s="10">
        <v>0.79500000000000004</v>
      </c>
      <c r="CZ12" s="10">
        <v>0.95099999999999996</v>
      </c>
    </row>
    <row r="13" spans="2:104" x14ac:dyDescent="0.25">
      <c r="B13" s="5" t="s">
        <v>42</v>
      </c>
      <c r="C13" s="10">
        <v>251.58500000000001</v>
      </c>
      <c r="D13" s="10">
        <v>4.665</v>
      </c>
      <c r="E13" s="10">
        <v>0</v>
      </c>
      <c r="F13" s="10">
        <v>5.8159999999999998</v>
      </c>
      <c r="G13" s="10">
        <v>0</v>
      </c>
      <c r="H13" s="10">
        <v>0</v>
      </c>
      <c r="I13" s="10">
        <v>11.707000000000001</v>
      </c>
      <c r="J13" s="10">
        <v>20.571000000000002</v>
      </c>
      <c r="K13" s="10">
        <v>48.197000000000003</v>
      </c>
      <c r="L13" s="10">
        <v>25.922000000000001</v>
      </c>
      <c r="M13" s="13">
        <v>2.1</v>
      </c>
      <c r="N13" s="13">
        <v>6.26</v>
      </c>
      <c r="O13" s="13">
        <v>0.371</v>
      </c>
      <c r="P13" s="13">
        <v>0.76</v>
      </c>
      <c r="Q13" s="13">
        <v>0</v>
      </c>
      <c r="R13" s="13">
        <v>0</v>
      </c>
      <c r="S13" s="13">
        <v>0</v>
      </c>
      <c r="T13" s="13">
        <v>1.7729999999999999</v>
      </c>
      <c r="U13" s="13">
        <v>0.82299999999999995</v>
      </c>
      <c r="V13" s="13">
        <v>2.0499999999999998</v>
      </c>
      <c r="W13" s="13">
        <v>1.84</v>
      </c>
      <c r="X13" s="13">
        <v>0.67400000000000004</v>
      </c>
      <c r="Y13" s="13">
        <v>0.499</v>
      </c>
      <c r="Z13" s="13">
        <v>3.1429999999999998</v>
      </c>
      <c r="AA13" s="13">
        <v>0</v>
      </c>
      <c r="AB13" s="13">
        <v>12.118</v>
      </c>
      <c r="AC13" s="13">
        <v>0.86499999999999999</v>
      </c>
      <c r="AD13" s="13">
        <v>0</v>
      </c>
      <c r="AE13" s="13">
        <v>11.579000000000001</v>
      </c>
      <c r="AF13" s="13">
        <v>0.88500000000000001</v>
      </c>
      <c r="AG13" s="13">
        <v>24.635999999999999</v>
      </c>
      <c r="AH13" s="13">
        <v>0.38</v>
      </c>
      <c r="AI13" s="13">
        <v>3.4529999999999998</v>
      </c>
      <c r="AJ13" s="13">
        <v>4.0960000000000001</v>
      </c>
      <c r="AK13" s="13">
        <v>0</v>
      </c>
      <c r="AL13" s="13">
        <v>0.78800000000000003</v>
      </c>
      <c r="AM13" s="13">
        <v>24.917999999999999</v>
      </c>
      <c r="AN13" s="13">
        <v>0</v>
      </c>
      <c r="AO13" s="13">
        <v>6.4210000000000003</v>
      </c>
      <c r="AP13" s="13">
        <v>10.401999999999999</v>
      </c>
      <c r="AQ13" s="13">
        <v>0</v>
      </c>
      <c r="AR13" s="10">
        <v>2.7250000000000001</v>
      </c>
      <c r="AS13" s="10">
        <v>0</v>
      </c>
      <c r="AT13" s="10">
        <v>7.4039999999999999</v>
      </c>
      <c r="AU13" s="10">
        <v>2.7759999999999998</v>
      </c>
      <c r="AV13" s="10">
        <v>2.903</v>
      </c>
      <c r="AW13" s="10">
        <v>1.35</v>
      </c>
      <c r="AX13" s="10">
        <v>1.4359999999999999</v>
      </c>
      <c r="AY13" s="10">
        <v>2.3090000000000002</v>
      </c>
      <c r="AZ13" s="10">
        <v>13.115</v>
      </c>
      <c r="BA13" s="13">
        <v>3.5790000000000002</v>
      </c>
      <c r="BB13" s="13">
        <v>1.099</v>
      </c>
      <c r="BC13" s="13">
        <v>0</v>
      </c>
      <c r="BD13" s="13">
        <v>0.52100000000000002</v>
      </c>
      <c r="BE13" s="13">
        <v>1.304</v>
      </c>
      <c r="BF13" s="13">
        <v>0</v>
      </c>
      <c r="BG13" s="13">
        <v>0</v>
      </c>
      <c r="BH13" s="13">
        <v>1.9810000000000001</v>
      </c>
      <c r="BI13" s="10">
        <v>0</v>
      </c>
      <c r="BJ13" s="10">
        <v>4.867</v>
      </c>
      <c r="BK13" s="10">
        <v>0</v>
      </c>
      <c r="BL13" s="13">
        <v>0</v>
      </c>
      <c r="BM13" s="13">
        <v>18.919</v>
      </c>
      <c r="BN13" s="13">
        <v>0</v>
      </c>
      <c r="BO13" s="13">
        <v>0</v>
      </c>
      <c r="BP13" s="13">
        <v>21.696999999999999</v>
      </c>
      <c r="BQ13" s="13">
        <v>0</v>
      </c>
      <c r="BR13" s="10">
        <v>1.01</v>
      </c>
      <c r="BS13" s="10">
        <v>0</v>
      </c>
      <c r="BT13" s="10">
        <v>6.3769999999999998</v>
      </c>
      <c r="BU13" s="10">
        <v>3.64</v>
      </c>
      <c r="BV13" s="10">
        <v>0</v>
      </c>
      <c r="BW13" s="10">
        <v>5.8239999999999998</v>
      </c>
      <c r="BX13" s="13">
        <v>0.28100000000000003</v>
      </c>
      <c r="BY13" s="13">
        <v>0</v>
      </c>
      <c r="BZ13" s="13">
        <v>0.27800000000000002</v>
      </c>
      <c r="CA13" s="13">
        <v>39.850999999999999</v>
      </c>
      <c r="CB13" s="13">
        <v>25.152000000000001</v>
      </c>
      <c r="CC13" s="13">
        <v>11.51</v>
      </c>
      <c r="CD13" s="13">
        <v>47.220999999999997</v>
      </c>
      <c r="CE13" s="13">
        <v>29.408999999999999</v>
      </c>
      <c r="CF13" s="13">
        <v>1.7989999999999999</v>
      </c>
      <c r="CG13" s="13">
        <v>18.405999999999999</v>
      </c>
      <c r="CH13" s="13">
        <v>1.897</v>
      </c>
      <c r="CI13" s="13">
        <v>1.272</v>
      </c>
      <c r="CJ13" s="13">
        <v>2.9049999999999998</v>
      </c>
      <c r="CK13" s="13">
        <v>11.833</v>
      </c>
      <c r="CL13" s="13">
        <v>0.57499999999999996</v>
      </c>
      <c r="CM13" s="13">
        <v>4.09</v>
      </c>
      <c r="CN13" s="13">
        <v>2.6850000000000001</v>
      </c>
      <c r="CO13" s="13">
        <v>12.112</v>
      </c>
      <c r="CP13" s="13">
        <v>5.423</v>
      </c>
      <c r="CQ13" s="13">
        <v>2.657</v>
      </c>
      <c r="CR13" s="13">
        <v>13.381</v>
      </c>
      <c r="CS13" s="10">
        <v>17.562999999999999</v>
      </c>
      <c r="CT13" s="10">
        <v>10.89</v>
      </c>
      <c r="CU13" s="10">
        <v>3.415</v>
      </c>
      <c r="CV13" s="10">
        <v>0.995</v>
      </c>
      <c r="CW13" s="10">
        <v>8.5890000000000004</v>
      </c>
      <c r="CX13" s="10">
        <v>0</v>
      </c>
      <c r="CY13" s="10">
        <v>0.79500000000000004</v>
      </c>
      <c r="CZ13" s="10">
        <v>0</v>
      </c>
    </row>
    <row r="14" spans="2:104" x14ac:dyDescent="0.25">
      <c r="B14" s="5" t="s">
        <v>43</v>
      </c>
      <c r="C14" s="10">
        <v>17.835999999999999</v>
      </c>
      <c r="D14" s="10">
        <v>0.55100000000000005</v>
      </c>
      <c r="E14" s="10">
        <v>0.53600000000000003</v>
      </c>
      <c r="F14" s="10">
        <v>0</v>
      </c>
      <c r="G14" s="10">
        <v>0</v>
      </c>
      <c r="H14" s="10">
        <v>25.657</v>
      </c>
      <c r="I14" s="10">
        <v>17.876000000000001</v>
      </c>
      <c r="J14" s="10">
        <v>5.1660000000000004</v>
      </c>
      <c r="K14" s="10">
        <v>75.605999999999995</v>
      </c>
      <c r="L14" s="10">
        <v>17.484000000000002</v>
      </c>
      <c r="M14" s="13">
        <v>6.26</v>
      </c>
      <c r="N14" s="13">
        <v>0</v>
      </c>
      <c r="O14" s="13">
        <v>0.124</v>
      </c>
      <c r="P14" s="13">
        <v>0.38</v>
      </c>
      <c r="Q14" s="13">
        <v>1.6040000000000001</v>
      </c>
      <c r="R14" s="13">
        <v>0</v>
      </c>
      <c r="S14" s="13">
        <v>0</v>
      </c>
      <c r="T14" s="13">
        <v>0.88700000000000001</v>
      </c>
      <c r="U14" s="13">
        <v>2.3660000000000001</v>
      </c>
      <c r="V14" s="13">
        <v>0</v>
      </c>
      <c r="W14" s="13">
        <v>0</v>
      </c>
      <c r="X14" s="13">
        <v>0</v>
      </c>
      <c r="Y14" s="13">
        <v>0</v>
      </c>
      <c r="Z14" s="13">
        <v>5.7679999999999998</v>
      </c>
      <c r="AA14" s="13">
        <v>1.617</v>
      </c>
      <c r="AB14" s="13">
        <v>0</v>
      </c>
      <c r="AC14" s="13">
        <v>0</v>
      </c>
      <c r="AD14" s="13">
        <v>3.915</v>
      </c>
      <c r="AE14" s="13">
        <v>11.58</v>
      </c>
      <c r="AF14" s="13">
        <v>14.369</v>
      </c>
      <c r="AG14" s="13">
        <v>16.622</v>
      </c>
      <c r="AH14" s="13">
        <v>1.141</v>
      </c>
      <c r="AI14" s="13">
        <v>7.6909999999999998</v>
      </c>
      <c r="AJ14" s="13">
        <v>2.335</v>
      </c>
      <c r="AK14" s="13">
        <v>0</v>
      </c>
      <c r="AL14" s="13">
        <v>0</v>
      </c>
      <c r="AM14" s="13">
        <v>8.3810000000000002</v>
      </c>
      <c r="AN14" s="13">
        <v>3.4940000000000002</v>
      </c>
      <c r="AO14" s="13">
        <v>9.2390000000000008</v>
      </c>
      <c r="AP14" s="13">
        <v>37.96</v>
      </c>
      <c r="AQ14" s="13">
        <v>10.087</v>
      </c>
      <c r="AR14" s="10">
        <v>0</v>
      </c>
      <c r="AS14" s="10">
        <v>24.968</v>
      </c>
      <c r="AT14" s="10">
        <v>22.213000000000001</v>
      </c>
      <c r="AU14" s="10">
        <v>29.106000000000002</v>
      </c>
      <c r="AV14" s="10">
        <v>0</v>
      </c>
      <c r="AW14" s="10">
        <v>1.35</v>
      </c>
      <c r="AX14" s="10">
        <v>0</v>
      </c>
      <c r="AY14" s="10">
        <v>3.0790000000000002</v>
      </c>
      <c r="AZ14" s="10">
        <v>0</v>
      </c>
      <c r="BA14" s="13">
        <v>1.0289999999999999</v>
      </c>
      <c r="BB14" s="13">
        <v>1.099</v>
      </c>
      <c r="BC14" s="13">
        <v>0.91600000000000004</v>
      </c>
      <c r="BD14" s="13">
        <v>0</v>
      </c>
      <c r="BE14" s="13">
        <v>2.173</v>
      </c>
      <c r="BF14" s="13">
        <v>2.8679999999999999</v>
      </c>
      <c r="BG14" s="13">
        <v>9.1010000000000009</v>
      </c>
      <c r="BH14" s="13">
        <v>3.9620000000000002</v>
      </c>
      <c r="BI14" s="10">
        <v>9.06</v>
      </c>
      <c r="BJ14" s="10">
        <v>0</v>
      </c>
      <c r="BK14" s="10">
        <v>3.0030000000000001</v>
      </c>
      <c r="BL14" s="13">
        <v>0</v>
      </c>
      <c r="BM14" s="13">
        <v>2.044</v>
      </c>
      <c r="BN14" s="13">
        <v>0</v>
      </c>
      <c r="BO14" s="13">
        <v>26.446999999999999</v>
      </c>
      <c r="BP14" s="13">
        <v>35.427999999999997</v>
      </c>
      <c r="BQ14" s="13">
        <v>0</v>
      </c>
      <c r="BR14" s="10">
        <v>0.34100000000000003</v>
      </c>
      <c r="BS14" s="10">
        <v>6.516</v>
      </c>
      <c r="BT14" s="10">
        <v>0</v>
      </c>
      <c r="BU14" s="10">
        <v>0</v>
      </c>
      <c r="BV14" s="10">
        <v>3.6909999999999998</v>
      </c>
      <c r="BW14" s="10">
        <v>3.6760000000000002</v>
      </c>
      <c r="BX14" s="13">
        <v>1.1259999999999999</v>
      </c>
      <c r="BY14" s="13">
        <v>0</v>
      </c>
      <c r="BZ14" s="13">
        <v>10.991</v>
      </c>
      <c r="CA14" s="13">
        <v>9.41</v>
      </c>
      <c r="CB14" s="13">
        <v>20.36</v>
      </c>
      <c r="CC14" s="13">
        <v>11.292999999999999</v>
      </c>
      <c r="CD14" s="13">
        <v>0.55700000000000005</v>
      </c>
      <c r="CE14" s="13">
        <v>0</v>
      </c>
      <c r="CF14" s="13">
        <v>25.164000000000001</v>
      </c>
      <c r="CG14" s="13">
        <v>0.94299999999999995</v>
      </c>
      <c r="CH14" s="13">
        <v>5.3239999999999998</v>
      </c>
      <c r="CI14" s="13">
        <v>0</v>
      </c>
      <c r="CJ14" s="13">
        <v>3.3079999999999998</v>
      </c>
      <c r="CK14" s="13">
        <v>15.308</v>
      </c>
      <c r="CL14" s="13">
        <v>4.5359999999999996</v>
      </c>
      <c r="CM14" s="13">
        <v>8.18</v>
      </c>
      <c r="CN14" s="13">
        <v>5.3689999999999998</v>
      </c>
      <c r="CO14" s="13">
        <v>0</v>
      </c>
      <c r="CP14" s="13">
        <v>1.266</v>
      </c>
      <c r="CQ14" s="13">
        <v>0</v>
      </c>
      <c r="CR14" s="13">
        <v>40.142000000000003</v>
      </c>
      <c r="CS14" s="10">
        <v>0</v>
      </c>
      <c r="CT14" s="10">
        <v>1.903</v>
      </c>
      <c r="CU14" s="10">
        <v>9.0519999999999996</v>
      </c>
      <c r="CV14" s="10">
        <v>0</v>
      </c>
      <c r="CW14" s="10">
        <v>5.7469999999999999</v>
      </c>
      <c r="CX14" s="10">
        <v>66.811999999999998</v>
      </c>
      <c r="CY14" s="10">
        <v>2.3849999999999998</v>
      </c>
      <c r="CZ14" s="10">
        <v>2.093</v>
      </c>
    </row>
    <row r="15" spans="2:104" x14ac:dyDescent="0.25">
      <c r="B15" s="5" t="s">
        <v>44</v>
      </c>
      <c r="C15" s="10">
        <v>10.537000000000001</v>
      </c>
      <c r="D15" s="10">
        <v>0</v>
      </c>
      <c r="E15" s="10">
        <v>2.145</v>
      </c>
      <c r="F15" s="10">
        <v>7.5449999999999999</v>
      </c>
      <c r="G15" s="10">
        <v>0</v>
      </c>
      <c r="H15" s="10">
        <v>0</v>
      </c>
      <c r="I15" s="10">
        <v>0</v>
      </c>
      <c r="J15" s="10">
        <v>8.1940000000000008</v>
      </c>
      <c r="K15" s="10">
        <v>0</v>
      </c>
      <c r="L15" s="10">
        <v>56.228000000000002</v>
      </c>
      <c r="M15" s="13">
        <v>0</v>
      </c>
      <c r="N15" s="13">
        <v>0</v>
      </c>
      <c r="O15" s="13">
        <v>0</v>
      </c>
      <c r="P15" s="13">
        <v>0.38</v>
      </c>
      <c r="Q15" s="13">
        <v>0</v>
      </c>
      <c r="R15" s="13">
        <v>0</v>
      </c>
      <c r="S15" s="13">
        <v>0</v>
      </c>
      <c r="T15" s="13">
        <v>2.66</v>
      </c>
      <c r="U15" s="13">
        <v>2.0219999999999998</v>
      </c>
      <c r="V15" s="13">
        <v>2.4849999999999999</v>
      </c>
      <c r="W15" s="13">
        <v>1.84</v>
      </c>
      <c r="X15" s="13">
        <v>0</v>
      </c>
      <c r="Y15" s="13">
        <v>0.998</v>
      </c>
      <c r="Z15" s="13">
        <v>0</v>
      </c>
      <c r="AA15" s="13">
        <v>3.4809999999999999</v>
      </c>
      <c r="AB15" s="13">
        <v>8.32</v>
      </c>
      <c r="AC15" s="13">
        <v>0.504</v>
      </c>
      <c r="AD15" s="13">
        <v>18.472999999999999</v>
      </c>
      <c r="AE15" s="13">
        <v>12.045999999999999</v>
      </c>
      <c r="AF15" s="13">
        <v>7.7460000000000004</v>
      </c>
      <c r="AG15" s="13">
        <v>0.22800000000000001</v>
      </c>
      <c r="AH15" s="13">
        <v>0.76100000000000001</v>
      </c>
      <c r="AI15" s="13">
        <v>0</v>
      </c>
      <c r="AJ15" s="13">
        <v>2.1779999999999999</v>
      </c>
      <c r="AK15" s="13">
        <v>0</v>
      </c>
      <c r="AL15" s="13">
        <v>0</v>
      </c>
      <c r="AM15" s="13">
        <v>10.321</v>
      </c>
      <c r="AN15" s="13">
        <v>0</v>
      </c>
      <c r="AO15" s="13">
        <v>14.677</v>
      </c>
      <c r="AP15" s="13">
        <v>0</v>
      </c>
      <c r="AQ15" s="13">
        <v>15.13</v>
      </c>
      <c r="AR15" s="10">
        <v>11.202999999999999</v>
      </c>
      <c r="AS15" s="10">
        <v>3.9249999999999998</v>
      </c>
      <c r="AT15" s="10">
        <v>3.702</v>
      </c>
      <c r="AU15" s="10">
        <v>0</v>
      </c>
      <c r="AV15" s="10">
        <v>0</v>
      </c>
      <c r="AW15" s="10">
        <v>1.35</v>
      </c>
      <c r="AX15" s="10">
        <v>0.30299999999999999</v>
      </c>
      <c r="AY15" s="10">
        <v>0</v>
      </c>
      <c r="AZ15" s="10">
        <v>16.399000000000001</v>
      </c>
      <c r="BA15" s="13">
        <v>0</v>
      </c>
      <c r="BB15" s="13">
        <v>2.1970000000000001</v>
      </c>
      <c r="BC15" s="13">
        <v>1.077</v>
      </c>
      <c r="BD15" s="13">
        <v>0</v>
      </c>
      <c r="BE15" s="13">
        <v>0.435</v>
      </c>
      <c r="BF15" s="13">
        <v>0</v>
      </c>
      <c r="BG15" s="13">
        <v>2.4460000000000002</v>
      </c>
      <c r="BH15" s="13">
        <v>0</v>
      </c>
      <c r="BI15" s="10">
        <v>2.8439999999999999</v>
      </c>
      <c r="BJ15" s="10">
        <v>0</v>
      </c>
      <c r="BK15" s="10">
        <v>2.4670000000000001</v>
      </c>
      <c r="BL15" s="13">
        <v>0</v>
      </c>
      <c r="BM15" s="13">
        <v>48.463000000000001</v>
      </c>
      <c r="BN15" s="13">
        <v>65.097999999999999</v>
      </c>
      <c r="BO15" s="13">
        <v>8.8160000000000007</v>
      </c>
      <c r="BP15" s="13">
        <v>17.265999999999998</v>
      </c>
      <c r="BQ15" s="13">
        <v>14.215</v>
      </c>
      <c r="BR15" s="10">
        <v>1.6319999999999999</v>
      </c>
      <c r="BS15" s="10">
        <v>5.407</v>
      </c>
      <c r="BT15" s="10">
        <v>4.2519999999999998</v>
      </c>
      <c r="BU15" s="10">
        <v>4.91</v>
      </c>
      <c r="BV15" s="10">
        <v>0</v>
      </c>
      <c r="BW15" s="10">
        <v>5.8239999999999998</v>
      </c>
      <c r="BX15" s="13">
        <v>0.28100000000000003</v>
      </c>
      <c r="BY15" s="13">
        <v>0.31</v>
      </c>
      <c r="BZ15" s="13">
        <v>0</v>
      </c>
      <c r="CA15" s="13">
        <v>19.954999999999998</v>
      </c>
      <c r="CB15" s="13">
        <v>14.544</v>
      </c>
      <c r="CC15" s="13">
        <v>0</v>
      </c>
      <c r="CD15" s="13">
        <v>0</v>
      </c>
      <c r="CE15" s="13">
        <v>1.99</v>
      </c>
      <c r="CF15" s="13">
        <v>2.4489999999999998</v>
      </c>
      <c r="CG15" s="13">
        <v>14.103</v>
      </c>
      <c r="CH15" s="13">
        <v>6.6230000000000002</v>
      </c>
      <c r="CI15" s="13">
        <v>6.3620000000000001</v>
      </c>
      <c r="CJ15" s="13">
        <v>3.903</v>
      </c>
      <c r="CK15" s="13">
        <v>11.818</v>
      </c>
      <c r="CL15" s="13">
        <v>6.641</v>
      </c>
      <c r="CM15" s="13">
        <v>0</v>
      </c>
      <c r="CN15" s="13">
        <v>0</v>
      </c>
      <c r="CO15" s="13">
        <v>4.0369999999999999</v>
      </c>
      <c r="CP15" s="13">
        <v>0</v>
      </c>
      <c r="CQ15" s="13">
        <v>0</v>
      </c>
      <c r="CR15" s="13">
        <v>13.381</v>
      </c>
      <c r="CS15" s="10">
        <v>0</v>
      </c>
      <c r="CT15" s="10">
        <v>2.9729999999999999</v>
      </c>
      <c r="CU15" s="10">
        <v>3.415</v>
      </c>
      <c r="CV15" s="10">
        <v>0</v>
      </c>
      <c r="CW15" s="10">
        <v>9.0850000000000009</v>
      </c>
      <c r="CX15" s="10">
        <v>0</v>
      </c>
      <c r="CY15" s="10">
        <v>1.59</v>
      </c>
      <c r="CZ15" s="10">
        <v>0</v>
      </c>
    </row>
    <row r="16" spans="2:104" x14ac:dyDescent="0.25">
      <c r="B16" s="5" t="s">
        <v>123</v>
      </c>
      <c r="C16" s="10">
        <v>150.761</v>
      </c>
      <c r="D16" s="10">
        <v>5.7060000000000004</v>
      </c>
      <c r="E16" s="10">
        <v>1.609</v>
      </c>
      <c r="F16" s="10">
        <v>0</v>
      </c>
      <c r="G16" s="10">
        <v>0.60899999999999999</v>
      </c>
      <c r="H16" s="10">
        <v>0</v>
      </c>
      <c r="I16" s="10">
        <v>21.372</v>
      </c>
      <c r="J16" s="10">
        <v>15.401</v>
      </c>
      <c r="K16" s="10">
        <v>34.947000000000003</v>
      </c>
      <c r="L16" s="10">
        <v>0</v>
      </c>
      <c r="M16" s="13">
        <v>0</v>
      </c>
      <c r="N16" s="13">
        <v>0</v>
      </c>
      <c r="O16" s="13">
        <v>0.124</v>
      </c>
      <c r="P16" s="13">
        <v>0.28399999999999997</v>
      </c>
      <c r="Q16" s="13">
        <v>1.9259999999999999</v>
      </c>
      <c r="R16" s="13">
        <v>3.4359999999999999</v>
      </c>
      <c r="S16" s="13">
        <v>0</v>
      </c>
      <c r="T16" s="13">
        <v>2.66</v>
      </c>
      <c r="U16" s="13">
        <v>0.94699999999999995</v>
      </c>
      <c r="V16" s="13">
        <v>0</v>
      </c>
      <c r="W16" s="13">
        <v>2.4529999999999998</v>
      </c>
      <c r="X16" s="13">
        <v>1.2130000000000001</v>
      </c>
      <c r="Y16" s="13">
        <v>0.249</v>
      </c>
      <c r="Z16" s="13">
        <v>3.3879999999999999</v>
      </c>
      <c r="AA16" s="13">
        <v>0</v>
      </c>
      <c r="AB16" s="13">
        <v>17.007999999999999</v>
      </c>
      <c r="AC16" s="13">
        <v>0.41199999999999998</v>
      </c>
      <c r="AD16" s="13">
        <v>8.7149999999999999</v>
      </c>
      <c r="AE16" s="13">
        <v>8.0310000000000006</v>
      </c>
      <c r="AF16" s="13">
        <v>8.9280000000000008</v>
      </c>
      <c r="AG16" s="13">
        <v>4.0670000000000002</v>
      </c>
      <c r="AH16" s="13">
        <v>1.141</v>
      </c>
      <c r="AI16" s="13">
        <v>7.6909999999999998</v>
      </c>
      <c r="AJ16" s="13">
        <v>4.3550000000000004</v>
      </c>
      <c r="AK16" s="13">
        <v>0</v>
      </c>
      <c r="AL16" s="13">
        <v>0</v>
      </c>
      <c r="AM16" s="13">
        <v>5.218</v>
      </c>
      <c r="AN16" s="13">
        <v>0</v>
      </c>
      <c r="AO16" s="13">
        <v>7.3390000000000004</v>
      </c>
      <c r="AP16" s="13">
        <v>2.4020000000000001</v>
      </c>
      <c r="AQ16" s="13">
        <v>0</v>
      </c>
      <c r="AR16" s="10">
        <v>24.763999999999999</v>
      </c>
      <c r="AS16" s="10">
        <v>18.797999999999998</v>
      </c>
      <c r="AT16" s="10">
        <v>3.702</v>
      </c>
      <c r="AU16" s="10">
        <v>7.2770000000000001</v>
      </c>
      <c r="AV16" s="10">
        <v>0</v>
      </c>
      <c r="AW16" s="10">
        <v>7.875</v>
      </c>
      <c r="AX16" s="10">
        <v>0.152</v>
      </c>
      <c r="AY16" s="10">
        <v>0.77</v>
      </c>
      <c r="AZ16" s="10">
        <v>10.593</v>
      </c>
      <c r="BA16" s="13">
        <v>0</v>
      </c>
      <c r="BB16" s="13">
        <v>1.2949999999999999</v>
      </c>
      <c r="BC16" s="13">
        <v>3.625</v>
      </c>
      <c r="BD16" s="13">
        <v>0.71799999999999997</v>
      </c>
      <c r="BE16" s="13">
        <v>0</v>
      </c>
      <c r="BF16" s="13">
        <v>5.7359999999999998</v>
      </c>
      <c r="BG16" s="13">
        <v>2.4460000000000002</v>
      </c>
      <c r="BH16" s="13">
        <v>2.8519999999999999</v>
      </c>
      <c r="BI16" s="10">
        <v>2.617</v>
      </c>
      <c r="BJ16" s="10">
        <v>0</v>
      </c>
      <c r="BK16" s="10">
        <v>22.652000000000001</v>
      </c>
      <c r="BL16" s="13">
        <v>0</v>
      </c>
      <c r="BM16" s="13">
        <v>22.507999999999999</v>
      </c>
      <c r="BN16" s="13">
        <v>0</v>
      </c>
      <c r="BO16" s="13">
        <v>0</v>
      </c>
      <c r="BP16" s="13">
        <v>5.4569999999999999</v>
      </c>
      <c r="BQ16" s="13">
        <v>0</v>
      </c>
      <c r="BR16" s="10">
        <v>0</v>
      </c>
      <c r="BS16" s="10">
        <v>0</v>
      </c>
      <c r="BT16" s="10">
        <v>2.1259999999999999</v>
      </c>
      <c r="BU16" s="10">
        <v>0</v>
      </c>
      <c r="BV16" s="10">
        <v>21.193000000000001</v>
      </c>
      <c r="BW16" s="10">
        <v>1.456</v>
      </c>
      <c r="BX16" s="13">
        <v>1.1259999999999999</v>
      </c>
      <c r="BY16" s="13">
        <v>0.53200000000000003</v>
      </c>
      <c r="BZ16" s="13">
        <v>0</v>
      </c>
      <c r="CA16" s="13">
        <v>6.4939999999999998</v>
      </c>
      <c r="CB16" s="13">
        <v>13.414999999999999</v>
      </c>
      <c r="CC16" s="13">
        <v>17.472000000000001</v>
      </c>
      <c r="CD16" s="13">
        <v>29.219000000000001</v>
      </c>
      <c r="CE16" s="13">
        <v>9.5609999999999999</v>
      </c>
      <c r="CF16" s="13">
        <v>11.401</v>
      </c>
      <c r="CG16" s="13">
        <v>0</v>
      </c>
      <c r="CH16" s="13">
        <v>1.897</v>
      </c>
      <c r="CI16" s="13">
        <v>1.68</v>
      </c>
      <c r="CJ16" s="13">
        <v>0</v>
      </c>
      <c r="CK16" s="13">
        <v>35.453000000000003</v>
      </c>
      <c r="CL16" s="13">
        <v>0</v>
      </c>
      <c r="CM16" s="13">
        <v>1.3080000000000001</v>
      </c>
      <c r="CN16" s="13">
        <v>0</v>
      </c>
      <c r="CO16" s="13">
        <v>12.127000000000001</v>
      </c>
      <c r="CP16" s="13">
        <v>5.7859999999999996</v>
      </c>
      <c r="CQ16" s="13">
        <v>4.3120000000000003</v>
      </c>
      <c r="CR16" s="13">
        <v>0</v>
      </c>
      <c r="CS16" s="10">
        <v>19.521000000000001</v>
      </c>
      <c r="CT16" s="10">
        <v>3.149</v>
      </c>
      <c r="CU16" s="10">
        <v>6.0350000000000001</v>
      </c>
      <c r="CV16" s="10">
        <v>0.995</v>
      </c>
      <c r="CW16" s="10">
        <v>36.378999999999998</v>
      </c>
      <c r="CX16" s="10">
        <v>17.193000000000001</v>
      </c>
      <c r="CY16" s="10">
        <v>0</v>
      </c>
      <c r="CZ16" s="10">
        <v>0</v>
      </c>
    </row>
    <row r="17" spans="2:104" x14ac:dyDescent="0.25">
      <c r="B17" s="5" t="s">
        <v>122</v>
      </c>
      <c r="C17" s="10">
        <v>19.722999999999999</v>
      </c>
      <c r="D17" s="10">
        <v>3.2519999999999998</v>
      </c>
      <c r="E17" s="10">
        <v>0.53600000000000003</v>
      </c>
      <c r="F17" s="10">
        <v>7.5449999999999999</v>
      </c>
      <c r="G17" s="10">
        <v>0.40600000000000003</v>
      </c>
      <c r="H17" s="10">
        <v>18.3</v>
      </c>
      <c r="I17" s="10">
        <v>0.223</v>
      </c>
      <c r="J17" s="10">
        <v>11.707000000000001</v>
      </c>
      <c r="K17" s="10">
        <v>34.947000000000003</v>
      </c>
      <c r="L17" s="10">
        <v>28.114000000000001</v>
      </c>
      <c r="M17" s="13">
        <v>0</v>
      </c>
      <c r="N17" s="13">
        <v>1.25</v>
      </c>
      <c r="O17" s="13">
        <v>0.248</v>
      </c>
      <c r="P17" s="13">
        <v>0.14199999999999999</v>
      </c>
      <c r="Q17" s="13">
        <v>0.96299999999999997</v>
      </c>
      <c r="R17" s="13">
        <v>1.718</v>
      </c>
      <c r="S17" s="13">
        <v>0</v>
      </c>
      <c r="T17" s="13">
        <v>1.6220000000000001</v>
      </c>
      <c r="U17" s="13">
        <v>3.0630000000000002</v>
      </c>
      <c r="V17" s="13">
        <v>0</v>
      </c>
      <c r="W17" s="13">
        <v>3.42</v>
      </c>
      <c r="X17" s="13">
        <v>1.2130000000000001</v>
      </c>
      <c r="Y17" s="13">
        <v>0.998</v>
      </c>
      <c r="Z17" s="13">
        <v>6.6870000000000003</v>
      </c>
      <c r="AA17" s="13">
        <v>3.0409999999999999</v>
      </c>
      <c r="AB17" s="13">
        <v>26.062000000000001</v>
      </c>
      <c r="AC17" s="13">
        <v>0.49399999999999999</v>
      </c>
      <c r="AD17" s="13">
        <v>1.0429999999999999</v>
      </c>
      <c r="AE17" s="13">
        <v>0.89500000000000002</v>
      </c>
      <c r="AF17" s="13">
        <v>9.8010000000000002</v>
      </c>
      <c r="AG17" s="13">
        <v>12.555</v>
      </c>
      <c r="AH17" s="13">
        <v>1.9590000000000001</v>
      </c>
      <c r="AI17" s="13">
        <v>6.2030000000000003</v>
      </c>
      <c r="AJ17" s="13">
        <v>4.3550000000000004</v>
      </c>
      <c r="AK17" s="13">
        <v>5.181</v>
      </c>
      <c r="AL17" s="13">
        <v>0</v>
      </c>
      <c r="AM17" s="13">
        <v>4.1210000000000004</v>
      </c>
      <c r="AN17" s="13">
        <v>0</v>
      </c>
      <c r="AO17" s="13">
        <v>0</v>
      </c>
      <c r="AP17" s="13">
        <v>17.187000000000001</v>
      </c>
      <c r="AQ17" s="13">
        <v>30.937999999999999</v>
      </c>
      <c r="AR17" s="10">
        <v>0</v>
      </c>
      <c r="AS17" s="10">
        <v>5.931</v>
      </c>
      <c r="AT17" s="10">
        <v>24.209</v>
      </c>
      <c r="AU17" s="10">
        <v>0</v>
      </c>
      <c r="AV17" s="10">
        <v>25.015999999999998</v>
      </c>
      <c r="AW17" s="10">
        <v>4.5</v>
      </c>
      <c r="AX17" s="10">
        <v>0</v>
      </c>
      <c r="AY17" s="10">
        <v>0.89100000000000001</v>
      </c>
      <c r="AZ17" s="10">
        <v>14.215999999999999</v>
      </c>
      <c r="BA17" s="13">
        <v>2.1459999999999999</v>
      </c>
      <c r="BB17" s="13">
        <v>1.2949999999999999</v>
      </c>
      <c r="BC17" s="13">
        <v>1.6339999999999999</v>
      </c>
      <c r="BD17" s="13">
        <v>0</v>
      </c>
      <c r="BE17" s="13">
        <v>0.29799999999999999</v>
      </c>
      <c r="BF17" s="13">
        <v>1.329</v>
      </c>
      <c r="BG17" s="13">
        <v>2.4460000000000002</v>
      </c>
      <c r="BH17" s="13">
        <v>1.802</v>
      </c>
      <c r="BI17" s="10">
        <v>0</v>
      </c>
      <c r="BJ17" s="10">
        <v>6.0990000000000002</v>
      </c>
      <c r="BK17" s="10">
        <v>0</v>
      </c>
      <c r="BL17" s="13">
        <v>3.8690000000000002</v>
      </c>
      <c r="BM17" s="13">
        <v>9.0449999999999999</v>
      </c>
      <c r="BN17" s="13">
        <v>0</v>
      </c>
      <c r="BO17" s="13">
        <v>0</v>
      </c>
      <c r="BP17" s="13">
        <v>17.265999999999998</v>
      </c>
      <c r="BQ17" s="13">
        <v>8.3079999999999998</v>
      </c>
      <c r="BR17" s="10">
        <v>0</v>
      </c>
      <c r="BS17" s="10">
        <v>2.1720000000000002</v>
      </c>
      <c r="BT17" s="10">
        <v>0</v>
      </c>
      <c r="BU17" s="10">
        <v>2.4550000000000001</v>
      </c>
      <c r="BV17" s="10">
        <v>0</v>
      </c>
      <c r="BW17" s="10">
        <v>2.3029999999999999</v>
      </c>
      <c r="BX17" s="13">
        <v>0.28100000000000003</v>
      </c>
      <c r="BY17" s="13">
        <v>0.51900000000000002</v>
      </c>
      <c r="BZ17" s="13">
        <v>3.6989999999999998</v>
      </c>
      <c r="CA17" s="13">
        <v>0.42299999999999999</v>
      </c>
      <c r="CB17" s="13">
        <v>11.868</v>
      </c>
      <c r="CC17" s="13">
        <v>5.3970000000000002</v>
      </c>
      <c r="CD17" s="13">
        <v>28.361000000000001</v>
      </c>
      <c r="CE17" s="13">
        <v>9.5609999999999999</v>
      </c>
      <c r="CF17" s="13">
        <v>11.868</v>
      </c>
      <c r="CG17" s="13">
        <v>0</v>
      </c>
      <c r="CH17" s="13">
        <v>4.726</v>
      </c>
      <c r="CI17" s="13">
        <v>3.36</v>
      </c>
      <c r="CJ17" s="13">
        <v>2.6019999999999999</v>
      </c>
      <c r="CK17" s="13">
        <v>0</v>
      </c>
      <c r="CL17" s="13">
        <v>4.056</v>
      </c>
      <c r="CM17" s="13">
        <v>0</v>
      </c>
      <c r="CN17" s="13">
        <v>0</v>
      </c>
      <c r="CO17" s="13">
        <v>8.423</v>
      </c>
      <c r="CP17" s="13">
        <v>1.266</v>
      </c>
      <c r="CQ17" s="13">
        <v>3.7730000000000001</v>
      </c>
      <c r="CR17" s="13">
        <v>30.140999999999998</v>
      </c>
      <c r="CS17" s="10">
        <v>5.2329999999999997</v>
      </c>
      <c r="CT17" s="10">
        <v>2.2549999999999999</v>
      </c>
      <c r="CU17" s="10">
        <v>0</v>
      </c>
      <c r="CV17" s="10">
        <v>0</v>
      </c>
      <c r="CW17" s="10">
        <v>8.3480000000000008</v>
      </c>
      <c r="CX17" s="10">
        <v>16.486000000000001</v>
      </c>
      <c r="CY17" s="10">
        <v>2.0419999999999998</v>
      </c>
      <c r="CZ17" s="10">
        <v>0</v>
      </c>
    </row>
    <row r="18" spans="2:104" x14ac:dyDescent="0.25">
      <c r="B18" s="5" t="s">
        <v>121</v>
      </c>
      <c r="C18" s="10">
        <v>7.351</v>
      </c>
      <c r="D18" s="10">
        <v>8.9849999999999994</v>
      </c>
      <c r="E18" s="10">
        <v>0.53600000000000003</v>
      </c>
      <c r="F18" s="10">
        <v>0</v>
      </c>
      <c r="G18" s="10">
        <v>0</v>
      </c>
      <c r="H18" s="10">
        <v>17.562000000000001</v>
      </c>
      <c r="I18" s="10">
        <v>10.545</v>
      </c>
      <c r="J18" s="10">
        <v>17.876000000000001</v>
      </c>
      <c r="K18" s="10">
        <v>34.808999999999997</v>
      </c>
      <c r="L18" s="10">
        <v>0</v>
      </c>
      <c r="M18" s="13">
        <v>1.25</v>
      </c>
      <c r="N18" s="13">
        <v>5.76</v>
      </c>
      <c r="O18" s="13">
        <v>0</v>
      </c>
      <c r="P18" s="13">
        <v>0.56799999999999995</v>
      </c>
      <c r="Q18" s="13">
        <v>2.8889999999999998</v>
      </c>
      <c r="R18" s="13">
        <v>3.4359999999999999</v>
      </c>
      <c r="S18" s="13">
        <v>0</v>
      </c>
      <c r="T18" s="13">
        <v>1.081</v>
      </c>
      <c r="U18" s="13">
        <v>0</v>
      </c>
      <c r="V18" s="13">
        <v>0</v>
      </c>
      <c r="W18" s="13">
        <v>0</v>
      </c>
      <c r="X18" s="13">
        <v>0</v>
      </c>
      <c r="Y18" s="13">
        <v>0.28499999999999998</v>
      </c>
      <c r="Z18" s="13">
        <v>2.8839999999999999</v>
      </c>
      <c r="AA18" s="13">
        <v>5.3220000000000001</v>
      </c>
      <c r="AB18" s="13">
        <v>9.4220000000000006</v>
      </c>
      <c r="AC18" s="13">
        <v>0</v>
      </c>
      <c r="AD18" s="13">
        <v>1.776</v>
      </c>
      <c r="AE18" s="13">
        <v>0</v>
      </c>
      <c r="AF18" s="13">
        <v>8.9280000000000008</v>
      </c>
      <c r="AG18" s="13">
        <v>42.777999999999999</v>
      </c>
      <c r="AH18" s="13">
        <v>1.47</v>
      </c>
      <c r="AI18" s="13">
        <v>0</v>
      </c>
      <c r="AJ18" s="13">
        <v>2.1779999999999999</v>
      </c>
      <c r="AK18" s="13">
        <v>0</v>
      </c>
      <c r="AL18" s="13">
        <v>5.181</v>
      </c>
      <c r="AM18" s="13">
        <v>6.468</v>
      </c>
      <c r="AN18" s="13">
        <v>13.561</v>
      </c>
      <c r="AO18" s="13">
        <v>6.0430000000000001</v>
      </c>
      <c r="AP18" s="13">
        <v>17.187000000000001</v>
      </c>
      <c r="AQ18" s="13">
        <v>0</v>
      </c>
      <c r="AR18" s="10">
        <v>7.5709999999999997</v>
      </c>
      <c r="AS18" s="10">
        <v>18.492000000000001</v>
      </c>
      <c r="AT18" s="10">
        <v>19.367000000000001</v>
      </c>
      <c r="AU18" s="10">
        <v>0</v>
      </c>
      <c r="AV18" s="10">
        <v>0</v>
      </c>
      <c r="AW18" s="10">
        <v>4.3479999999999999</v>
      </c>
      <c r="AX18" s="10">
        <v>0.152</v>
      </c>
      <c r="AY18" s="10">
        <v>0</v>
      </c>
      <c r="AZ18" s="10">
        <v>15.352</v>
      </c>
      <c r="BA18" s="13">
        <v>1.7749999999999999</v>
      </c>
      <c r="BB18" s="13">
        <v>1.2949999999999999</v>
      </c>
      <c r="BC18" s="13">
        <v>1.6339999999999999</v>
      </c>
      <c r="BD18" s="13">
        <v>0</v>
      </c>
      <c r="BE18" s="13">
        <v>0.59499999999999997</v>
      </c>
      <c r="BF18" s="13">
        <v>3.9860000000000002</v>
      </c>
      <c r="BG18" s="13">
        <v>2.4540000000000002</v>
      </c>
      <c r="BH18" s="13">
        <v>3.0489999999999999</v>
      </c>
      <c r="BI18" s="10">
        <v>3.6360000000000001</v>
      </c>
      <c r="BJ18" s="10">
        <v>0</v>
      </c>
      <c r="BK18" s="10">
        <v>0</v>
      </c>
      <c r="BL18" s="13">
        <v>6.7919999999999998</v>
      </c>
      <c r="BM18" s="13">
        <v>13.673999999999999</v>
      </c>
      <c r="BN18" s="13">
        <v>0</v>
      </c>
      <c r="BO18" s="13">
        <v>21.824999999999999</v>
      </c>
      <c r="BP18" s="13">
        <v>0</v>
      </c>
      <c r="BQ18" s="13">
        <v>0</v>
      </c>
      <c r="BR18" s="10">
        <v>1.4239999999999999</v>
      </c>
      <c r="BS18" s="10">
        <v>0</v>
      </c>
      <c r="BT18" s="10">
        <v>6.516</v>
      </c>
      <c r="BU18" s="10">
        <v>4.91</v>
      </c>
      <c r="BV18" s="10">
        <v>0</v>
      </c>
      <c r="BW18" s="10">
        <v>4.6059999999999999</v>
      </c>
      <c r="BX18" s="13">
        <v>0.90900000000000003</v>
      </c>
      <c r="BY18" s="13">
        <v>0</v>
      </c>
      <c r="BZ18" s="13">
        <v>0</v>
      </c>
      <c r="CA18" s="13">
        <v>28.228999999999999</v>
      </c>
      <c r="CB18" s="13">
        <v>16.928999999999998</v>
      </c>
      <c r="CC18" s="13">
        <v>12.353</v>
      </c>
      <c r="CD18" s="13">
        <v>0</v>
      </c>
      <c r="CE18" s="13">
        <v>9.5609999999999999</v>
      </c>
      <c r="CF18" s="13">
        <v>4.694</v>
      </c>
      <c r="CG18" s="13">
        <v>45.118000000000002</v>
      </c>
      <c r="CH18" s="13">
        <v>0</v>
      </c>
      <c r="CI18" s="13">
        <v>0.29599999999999999</v>
      </c>
      <c r="CJ18" s="13">
        <v>2.6019999999999999</v>
      </c>
      <c r="CK18" s="13">
        <v>8.5630000000000006</v>
      </c>
      <c r="CL18" s="13">
        <v>2.214</v>
      </c>
      <c r="CM18" s="13">
        <v>7.2370000000000001</v>
      </c>
      <c r="CN18" s="13">
        <v>0</v>
      </c>
      <c r="CO18" s="13">
        <v>2.7309999999999999</v>
      </c>
      <c r="CP18" s="13">
        <v>1.266</v>
      </c>
      <c r="CQ18" s="13">
        <v>0</v>
      </c>
      <c r="CR18" s="13">
        <v>9.1539999999999999</v>
      </c>
      <c r="CS18" s="10">
        <v>5.5359999999999996</v>
      </c>
      <c r="CT18" s="10">
        <v>1.587</v>
      </c>
      <c r="CU18" s="10">
        <v>3.0169999999999999</v>
      </c>
      <c r="CV18" s="10">
        <v>1.163</v>
      </c>
      <c r="CW18" s="10">
        <v>0</v>
      </c>
      <c r="CX18" s="10">
        <v>9.8919999999999995</v>
      </c>
      <c r="CY18" s="10">
        <v>0.68100000000000005</v>
      </c>
      <c r="CZ18" s="10">
        <v>0.69799999999999995</v>
      </c>
    </row>
    <row r="19" spans="2:104" x14ac:dyDescent="0.25">
      <c r="B19" s="5" t="s">
        <v>120</v>
      </c>
      <c r="C19" s="10">
        <v>0</v>
      </c>
      <c r="D19" s="10">
        <v>9.0760000000000005</v>
      </c>
      <c r="E19" s="10">
        <v>0</v>
      </c>
      <c r="F19" s="10">
        <v>2.5150000000000001</v>
      </c>
      <c r="G19" s="10">
        <v>0.50700000000000001</v>
      </c>
      <c r="H19" s="10">
        <v>0</v>
      </c>
      <c r="I19" s="10">
        <v>5.2729999999999997</v>
      </c>
      <c r="J19" s="10">
        <v>0</v>
      </c>
      <c r="K19" s="10">
        <v>57.820999999999998</v>
      </c>
      <c r="L19" s="10">
        <v>25.504999999999999</v>
      </c>
      <c r="M19" s="13">
        <v>5.76</v>
      </c>
      <c r="N19" s="13">
        <v>3.996</v>
      </c>
      <c r="O19" s="13">
        <v>0.45800000000000002</v>
      </c>
      <c r="P19" s="13">
        <v>0.28399999999999997</v>
      </c>
      <c r="Q19" s="13">
        <v>2.8889999999999998</v>
      </c>
      <c r="R19" s="13">
        <v>0</v>
      </c>
      <c r="S19" s="13">
        <v>0.16600000000000001</v>
      </c>
      <c r="T19" s="13">
        <v>0</v>
      </c>
      <c r="U19" s="13">
        <v>2.0419999999999998</v>
      </c>
      <c r="V19" s="13">
        <v>1.2430000000000001</v>
      </c>
      <c r="W19" s="13">
        <v>6.8390000000000004</v>
      </c>
      <c r="X19" s="13">
        <v>0</v>
      </c>
      <c r="Y19" s="13">
        <v>0.42399999999999999</v>
      </c>
      <c r="Z19" s="13">
        <v>5.0419999999999998</v>
      </c>
      <c r="AA19" s="13">
        <v>0</v>
      </c>
      <c r="AB19" s="13">
        <v>35.116999999999997</v>
      </c>
      <c r="AC19" s="13">
        <v>0</v>
      </c>
      <c r="AD19" s="13">
        <v>0.73299999999999998</v>
      </c>
      <c r="AE19" s="13">
        <v>11.752000000000001</v>
      </c>
      <c r="AF19" s="13">
        <v>8.9280000000000008</v>
      </c>
      <c r="AG19" s="13">
        <v>1.202</v>
      </c>
      <c r="AH19" s="13">
        <v>0.49</v>
      </c>
      <c r="AI19" s="13">
        <v>0</v>
      </c>
      <c r="AJ19" s="13">
        <v>4.3550000000000004</v>
      </c>
      <c r="AK19" s="13">
        <v>2.11</v>
      </c>
      <c r="AL19" s="13">
        <v>0</v>
      </c>
      <c r="AM19" s="13">
        <v>14.691000000000001</v>
      </c>
      <c r="AN19" s="13">
        <v>0</v>
      </c>
      <c r="AO19" s="13">
        <v>1.1719999999999999</v>
      </c>
      <c r="AP19" s="13">
        <v>12.89</v>
      </c>
      <c r="AQ19" s="13">
        <v>0.874</v>
      </c>
      <c r="AR19" s="10">
        <v>8.5090000000000003</v>
      </c>
      <c r="AS19" s="10">
        <v>1.266</v>
      </c>
      <c r="AT19" s="10">
        <v>4.8419999999999996</v>
      </c>
      <c r="AU19" s="10">
        <v>18.244</v>
      </c>
      <c r="AV19" s="10">
        <v>0</v>
      </c>
      <c r="AW19" s="10">
        <v>15.488</v>
      </c>
      <c r="AX19" s="10">
        <v>0.45500000000000002</v>
      </c>
      <c r="AY19" s="10">
        <v>1.782</v>
      </c>
      <c r="AZ19" s="10">
        <v>0</v>
      </c>
      <c r="BA19" s="13">
        <v>2.1739999999999999</v>
      </c>
      <c r="BB19" s="13">
        <v>1.2949999999999999</v>
      </c>
      <c r="BC19" s="13">
        <v>1.6339999999999999</v>
      </c>
      <c r="BD19" s="13">
        <v>0</v>
      </c>
      <c r="BE19" s="13">
        <v>0.59499999999999997</v>
      </c>
      <c r="BF19" s="13">
        <v>1.329</v>
      </c>
      <c r="BG19" s="13">
        <v>0</v>
      </c>
      <c r="BH19" s="13">
        <v>1.454</v>
      </c>
      <c r="BI19" s="10">
        <v>0</v>
      </c>
      <c r="BJ19" s="10">
        <v>1.5640000000000001</v>
      </c>
      <c r="BK19" s="10">
        <v>0</v>
      </c>
      <c r="BL19" s="13">
        <v>0</v>
      </c>
      <c r="BM19" s="13">
        <v>9.0449999999999999</v>
      </c>
      <c r="BN19" s="13">
        <v>0</v>
      </c>
      <c r="BO19" s="13">
        <v>0</v>
      </c>
      <c r="BP19" s="13">
        <v>7.7370000000000001</v>
      </c>
      <c r="BQ19" s="13">
        <v>45.588000000000001</v>
      </c>
      <c r="BR19" s="10">
        <v>1.9490000000000001</v>
      </c>
      <c r="BS19" s="10">
        <v>6.4379999999999997</v>
      </c>
      <c r="BT19" s="10">
        <v>5.407</v>
      </c>
      <c r="BU19" s="10">
        <v>2.4550000000000001</v>
      </c>
      <c r="BV19" s="10">
        <v>0</v>
      </c>
      <c r="BW19" s="10">
        <v>6.9089999999999998</v>
      </c>
      <c r="BX19" s="13">
        <v>0.45400000000000001</v>
      </c>
      <c r="BY19" s="13">
        <v>0.95899999999999996</v>
      </c>
      <c r="BZ19" s="13">
        <v>14.666</v>
      </c>
      <c r="CA19" s="13">
        <v>13.009</v>
      </c>
      <c r="CB19" s="13">
        <v>1.7789999999999999</v>
      </c>
      <c r="CC19" s="13">
        <v>0</v>
      </c>
      <c r="CD19" s="13">
        <v>1.474</v>
      </c>
      <c r="CE19" s="13">
        <v>10.494999999999999</v>
      </c>
      <c r="CF19" s="13">
        <v>1.38</v>
      </c>
      <c r="CG19" s="13">
        <v>0</v>
      </c>
      <c r="CH19" s="13">
        <v>0</v>
      </c>
      <c r="CI19" s="13">
        <v>0</v>
      </c>
      <c r="CJ19" s="13">
        <v>0</v>
      </c>
      <c r="CK19" s="13">
        <v>35.453000000000003</v>
      </c>
      <c r="CL19" s="13">
        <v>2.214</v>
      </c>
      <c r="CM19" s="13">
        <v>3.2389999999999999</v>
      </c>
      <c r="CN19" s="13">
        <v>0</v>
      </c>
      <c r="CO19" s="13">
        <v>8.423</v>
      </c>
      <c r="CP19" s="13">
        <v>1.948</v>
      </c>
      <c r="CQ19" s="13">
        <v>0</v>
      </c>
      <c r="CR19" s="13">
        <v>9.1539999999999999</v>
      </c>
      <c r="CS19" s="10">
        <v>3.9289999999999998</v>
      </c>
      <c r="CT19" s="10">
        <v>0.63</v>
      </c>
      <c r="CU19" s="10">
        <v>2.4900000000000002</v>
      </c>
      <c r="CV19" s="10">
        <v>0</v>
      </c>
      <c r="CW19" s="10">
        <v>0</v>
      </c>
      <c r="CX19" s="10">
        <v>12.345000000000001</v>
      </c>
      <c r="CY19" s="10">
        <v>0.68100000000000005</v>
      </c>
      <c r="CZ19" s="10">
        <v>3.6549999999999998</v>
      </c>
    </row>
    <row r="20" spans="2:104" x14ac:dyDescent="0.25">
      <c r="B20" s="5" t="s">
        <v>119</v>
      </c>
      <c r="C20" s="10">
        <v>21.366</v>
      </c>
      <c r="D20" s="10">
        <v>0.91900000000000004</v>
      </c>
      <c r="E20" s="10">
        <v>0.65900000000000003</v>
      </c>
      <c r="F20" s="10">
        <v>0</v>
      </c>
      <c r="G20" s="10">
        <v>0.254</v>
      </c>
      <c r="H20" s="10">
        <v>7.8120000000000003</v>
      </c>
      <c r="I20" s="10">
        <v>0</v>
      </c>
      <c r="J20" s="10">
        <v>21.372</v>
      </c>
      <c r="K20" s="10">
        <v>30.832000000000001</v>
      </c>
      <c r="L20" s="10">
        <v>0</v>
      </c>
      <c r="M20" s="13">
        <v>3.996</v>
      </c>
      <c r="N20" s="13">
        <v>0</v>
      </c>
      <c r="O20" s="13">
        <v>0</v>
      </c>
      <c r="P20" s="13">
        <v>0.56799999999999995</v>
      </c>
      <c r="Q20" s="13">
        <v>0</v>
      </c>
      <c r="R20" s="13">
        <v>1.718</v>
      </c>
      <c r="S20" s="13">
        <v>1.41</v>
      </c>
      <c r="T20" s="13">
        <v>2.1629999999999998</v>
      </c>
      <c r="U20" s="13">
        <v>2.794</v>
      </c>
      <c r="V20" s="13">
        <v>1.671</v>
      </c>
      <c r="W20" s="13">
        <v>0</v>
      </c>
      <c r="X20" s="13">
        <v>0</v>
      </c>
      <c r="Y20" s="13">
        <v>0</v>
      </c>
      <c r="Z20" s="13">
        <v>2.3959999999999999</v>
      </c>
      <c r="AA20" s="13">
        <v>9.9819999999999993</v>
      </c>
      <c r="AB20" s="13">
        <v>14.532999999999999</v>
      </c>
      <c r="AC20" s="13">
        <v>0</v>
      </c>
      <c r="AD20" s="13">
        <v>8.7149999999999999</v>
      </c>
      <c r="AE20" s="13">
        <v>27.149000000000001</v>
      </c>
      <c r="AF20" s="13">
        <v>2.77</v>
      </c>
      <c r="AG20" s="13">
        <v>0.627</v>
      </c>
      <c r="AH20" s="13">
        <v>0.98</v>
      </c>
      <c r="AI20" s="13">
        <v>0</v>
      </c>
      <c r="AJ20" s="13">
        <v>3.262</v>
      </c>
      <c r="AK20" s="13">
        <v>11.53</v>
      </c>
      <c r="AL20" s="13">
        <v>2.11</v>
      </c>
      <c r="AM20" s="13">
        <v>4.1909999999999998</v>
      </c>
      <c r="AN20" s="13">
        <v>0</v>
      </c>
      <c r="AO20" s="13">
        <v>0</v>
      </c>
      <c r="AP20" s="13">
        <v>9.407</v>
      </c>
      <c r="AQ20" s="13">
        <v>11.581</v>
      </c>
      <c r="AR20" s="10">
        <v>21.248000000000001</v>
      </c>
      <c r="AS20" s="10">
        <v>19.181999999999999</v>
      </c>
      <c r="AT20" s="10">
        <v>0</v>
      </c>
      <c r="AU20" s="10">
        <v>9.1219999999999999</v>
      </c>
      <c r="AV20" s="10">
        <v>0</v>
      </c>
      <c r="AW20" s="10">
        <v>1.905</v>
      </c>
      <c r="AX20" s="10">
        <v>0.22900000000000001</v>
      </c>
      <c r="AY20" s="10">
        <v>0</v>
      </c>
      <c r="AZ20" s="10">
        <v>17.771000000000001</v>
      </c>
      <c r="BA20" s="13">
        <v>3.819</v>
      </c>
      <c r="BB20" s="13">
        <v>1.2949999999999999</v>
      </c>
      <c r="BC20" s="13">
        <v>2.1880000000000002</v>
      </c>
      <c r="BD20" s="13">
        <v>0</v>
      </c>
      <c r="BE20" s="13">
        <v>0.29799999999999999</v>
      </c>
      <c r="BF20" s="13">
        <v>5.3150000000000004</v>
      </c>
      <c r="BG20" s="13">
        <v>3.9279999999999999</v>
      </c>
      <c r="BH20" s="13">
        <v>0.66200000000000003</v>
      </c>
      <c r="BI20" s="10">
        <v>0.14799999999999999</v>
      </c>
      <c r="BJ20" s="10">
        <v>2.6219999999999999</v>
      </c>
      <c r="BK20" s="10">
        <v>0.25</v>
      </c>
      <c r="BL20" s="13">
        <v>17.452999999999999</v>
      </c>
      <c r="BM20" s="13">
        <v>12.381</v>
      </c>
      <c r="BN20" s="13">
        <v>0</v>
      </c>
      <c r="BO20" s="13">
        <v>0</v>
      </c>
      <c r="BP20" s="13">
        <v>19.443000000000001</v>
      </c>
      <c r="BQ20" s="13">
        <v>0</v>
      </c>
      <c r="BR20" s="10">
        <v>0</v>
      </c>
      <c r="BS20" s="10">
        <v>1.7989999999999999</v>
      </c>
      <c r="BT20" s="10">
        <v>0</v>
      </c>
      <c r="BU20" s="10">
        <v>0</v>
      </c>
      <c r="BV20" s="10">
        <v>0</v>
      </c>
      <c r="BW20" s="10">
        <v>2.3029999999999999</v>
      </c>
      <c r="BX20" s="13">
        <v>0.22700000000000001</v>
      </c>
      <c r="BY20" s="13">
        <v>0.17699999999999999</v>
      </c>
      <c r="BZ20" s="13">
        <v>6.4969999999999999</v>
      </c>
      <c r="CA20" s="13">
        <v>1.1859999999999999</v>
      </c>
      <c r="CB20" s="13">
        <v>7.407</v>
      </c>
      <c r="CC20" s="13">
        <v>6.1769999999999996</v>
      </c>
      <c r="CD20" s="13">
        <v>1.9259999999999999</v>
      </c>
      <c r="CE20" s="13">
        <v>0</v>
      </c>
      <c r="CF20" s="13">
        <v>12.247999999999999</v>
      </c>
      <c r="CG20" s="13">
        <v>11.624000000000001</v>
      </c>
      <c r="CH20" s="13">
        <v>1.3979999999999999</v>
      </c>
      <c r="CI20" s="13">
        <v>5.04</v>
      </c>
      <c r="CJ20" s="13">
        <v>1.9279999999999999</v>
      </c>
      <c r="CK20" s="13">
        <v>8.91</v>
      </c>
      <c r="CL20" s="13">
        <v>2.3239999999999998</v>
      </c>
      <c r="CM20" s="13">
        <v>2.9990000000000001</v>
      </c>
      <c r="CN20" s="13">
        <v>1.91</v>
      </c>
      <c r="CO20" s="13">
        <v>3.218</v>
      </c>
      <c r="CP20" s="13">
        <v>1.948</v>
      </c>
      <c r="CQ20" s="13">
        <v>0</v>
      </c>
      <c r="CR20" s="13">
        <v>0</v>
      </c>
      <c r="CS20" s="10">
        <v>10.268000000000001</v>
      </c>
      <c r="CT20" s="10">
        <v>0</v>
      </c>
      <c r="CU20" s="10">
        <v>2.4900000000000002</v>
      </c>
      <c r="CV20" s="10">
        <v>2.3250000000000002</v>
      </c>
      <c r="CW20" s="10">
        <v>0</v>
      </c>
      <c r="CX20" s="10">
        <v>3.2970000000000002</v>
      </c>
      <c r="CY20" s="10">
        <v>0.68100000000000005</v>
      </c>
      <c r="CZ20" s="10">
        <v>1.218</v>
      </c>
    </row>
    <row r="21" spans="2:104" x14ac:dyDescent="0.25">
      <c r="B21" s="5" t="s">
        <v>118</v>
      </c>
      <c r="C21" s="10">
        <v>0</v>
      </c>
      <c r="D21" s="10">
        <v>0.86599999999999999</v>
      </c>
      <c r="E21" s="10">
        <v>0</v>
      </c>
      <c r="F21" s="10">
        <v>0</v>
      </c>
      <c r="G21" s="10">
        <v>0</v>
      </c>
      <c r="H21" s="10">
        <v>3.2469999999999999</v>
      </c>
      <c r="I21" s="10">
        <v>5.7350000000000003</v>
      </c>
      <c r="J21" s="10">
        <v>0.223</v>
      </c>
      <c r="K21" s="10">
        <v>27.413</v>
      </c>
      <c r="L21" s="10">
        <v>34.771999999999998</v>
      </c>
      <c r="M21" s="13">
        <v>0</v>
      </c>
      <c r="N21" s="13">
        <v>5.8289999999999997</v>
      </c>
      <c r="O21" s="13">
        <v>0.45800000000000002</v>
      </c>
      <c r="P21" s="13">
        <v>0.112</v>
      </c>
      <c r="Q21" s="13">
        <v>3.8519999999999999</v>
      </c>
      <c r="R21" s="13">
        <v>3.4630000000000001</v>
      </c>
      <c r="S21" s="13">
        <v>3.1520000000000001</v>
      </c>
      <c r="T21" s="13">
        <v>1.6220000000000001</v>
      </c>
      <c r="U21" s="13">
        <v>3.0630000000000002</v>
      </c>
      <c r="V21" s="13">
        <v>0</v>
      </c>
      <c r="W21" s="13">
        <v>2.2799999999999998</v>
      </c>
      <c r="X21" s="13">
        <v>0</v>
      </c>
      <c r="Y21" s="13">
        <v>0.318</v>
      </c>
      <c r="Z21" s="13">
        <v>1.9490000000000001</v>
      </c>
      <c r="AA21" s="13">
        <v>1.405</v>
      </c>
      <c r="AB21" s="13">
        <v>0.126</v>
      </c>
      <c r="AC21" s="13">
        <v>0.16700000000000001</v>
      </c>
      <c r="AD21" s="13">
        <v>0</v>
      </c>
      <c r="AE21" s="13">
        <v>5.8760000000000003</v>
      </c>
      <c r="AF21" s="13">
        <v>13.329000000000001</v>
      </c>
      <c r="AG21" s="13">
        <v>12.948</v>
      </c>
      <c r="AH21" s="13">
        <v>0.98</v>
      </c>
      <c r="AI21" s="13">
        <v>4.1379999999999999</v>
      </c>
      <c r="AJ21" s="13">
        <v>4.0750000000000002</v>
      </c>
      <c r="AK21" s="13">
        <v>0</v>
      </c>
      <c r="AL21" s="13">
        <v>11.53</v>
      </c>
      <c r="AM21" s="13">
        <v>0</v>
      </c>
      <c r="AN21" s="13">
        <v>0.625</v>
      </c>
      <c r="AO21" s="13">
        <v>16.018000000000001</v>
      </c>
      <c r="AP21" s="13">
        <v>5.9009999999999998</v>
      </c>
      <c r="AQ21" s="13">
        <v>18.632999999999999</v>
      </c>
      <c r="AR21" s="10">
        <v>18.306999999999999</v>
      </c>
      <c r="AS21" s="10">
        <v>5.6210000000000004</v>
      </c>
      <c r="AT21" s="10">
        <v>0</v>
      </c>
      <c r="AU21" s="10">
        <v>13.683</v>
      </c>
      <c r="AV21" s="10">
        <v>0</v>
      </c>
      <c r="AW21" s="10">
        <v>0</v>
      </c>
      <c r="AX21" s="10">
        <v>0.91600000000000004</v>
      </c>
      <c r="AY21" s="10">
        <v>2.6720000000000002</v>
      </c>
      <c r="AZ21" s="10">
        <v>0</v>
      </c>
      <c r="BA21" s="13">
        <v>1.7230000000000001</v>
      </c>
      <c r="BB21" s="13">
        <v>0</v>
      </c>
      <c r="BC21" s="13">
        <v>1.6339999999999999</v>
      </c>
      <c r="BD21" s="13">
        <v>0.16700000000000001</v>
      </c>
      <c r="BE21" s="13">
        <v>1.488</v>
      </c>
      <c r="BF21" s="13">
        <v>0</v>
      </c>
      <c r="BG21" s="13">
        <v>0</v>
      </c>
      <c r="BH21" s="13">
        <v>2.1970000000000001</v>
      </c>
      <c r="BI21" s="10">
        <v>10.907999999999999</v>
      </c>
      <c r="BJ21" s="10">
        <v>4.51</v>
      </c>
      <c r="BK21" s="10">
        <v>0</v>
      </c>
      <c r="BL21" s="13">
        <v>13.583</v>
      </c>
      <c r="BM21" s="13">
        <v>18.091000000000001</v>
      </c>
      <c r="BN21" s="13">
        <v>0</v>
      </c>
      <c r="BO21" s="13">
        <v>14.55</v>
      </c>
      <c r="BP21" s="13">
        <v>0</v>
      </c>
      <c r="BQ21" s="13">
        <v>0</v>
      </c>
      <c r="BR21" s="10">
        <v>1.532</v>
      </c>
      <c r="BS21" s="10">
        <v>0</v>
      </c>
      <c r="BT21" s="10">
        <v>2.1720000000000002</v>
      </c>
      <c r="BU21" s="10">
        <v>5.5570000000000004</v>
      </c>
      <c r="BV21" s="10">
        <v>0</v>
      </c>
      <c r="BW21" s="10">
        <v>4.6059999999999999</v>
      </c>
      <c r="BX21" s="13">
        <v>0.68200000000000005</v>
      </c>
      <c r="BY21" s="13">
        <v>0.83</v>
      </c>
      <c r="BZ21" s="13">
        <v>0</v>
      </c>
      <c r="CA21" s="13">
        <v>0</v>
      </c>
      <c r="CB21" s="13">
        <v>14.813000000000001</v>
      </c>
      <c r="CC21" s="13">
        <v>0</v>
      </c>
      <c r="CD21" s="13">
        <v>22.533999999999999</v>
      </c>
      <c r="CE21" s="13">
        <v>0</v>
      </c>
      <c r="CF21" s="13">
        <v>33.567</v>
      </c>
      <c r="CG21" s="13">
        <v>54.179000000000002</v>
      </c>
      <c r="CH21" s="13">
        <v>6.4249999999999998</v>
      </c>
      <c r="CI21" s="13">
        <v>2.149</v>
      </c>
      <c r="CJ21" s="13">
        <v>0</v>
      </c>
      <c r="CK21" s="13">
        <v>7.6349999999999998</v>
      </c>
      <c r="CL21" s="13">
        <v>0.89900000000000002</v>
      </c>
      <c r="CM21" s="13">
        <v>5.8440000000000003</v>
      </c>
      <c r="CN21" s="13">
        <v>7.1079999999999997</v>
      </c>
      <c r="CO21" s="13">
        <v>8.423</v>
      </c>
      <c r="CP21" s="13">
        <v>1.948</v>
      </c>
      <c r="CQ21" s="13">
        <v>1.4930000000000001</v>
      </c>
      <c r="CR21" s="13">
        <v>63.741</v>
      </c>
      <c r="CS21" s="10">
        <v>5.5359999999999996</v>
      </c>
      <c r="CT21" s="10">
        <v>6.3860000000000001</v>
      </c>
      <c r="CU21" s="10">
        <v>5.0880000000000001</v>
      </c>
      <c r="CV21" s="10">
        <v>0</v>
      </c>
      <c r="CW21" s="10">
        <v>14.218</v>
      </c>
      <c r="CX21" s="10">
        <v>0</v>
      </c>
      <c r="CY21" s="10">
        <v>3.569</v>
      </c>
      <c r="CZ21" s="10">
        <v>1.827</v>
      </c>
    </row>
    <row r="22" spans="2:104" x14ac:dyDescent="0.25">
      <c r="B22" s="5" t="s">
        <v>117</v>
      </c>
      <c r="C22" s="10">
        <v>0</v>
      </c>
      <c r="D22" s="10">
        <v>0</v>
      </c>
      <c r="E22" s="10">
        <v>0.65900000000000003</v>
      </c>
      <c r="F22" s="10">
        <v>3.806</v>
      </c>
      <c r="G22" s="10">
        <v>0.254</v>
      </c>
      <c r="H22" s="10">
        <v>0</v>
      </c>
      <c r="I22" s="10">
        <v>2.6360000000000001</v>
      </c>
      <c r="J22" s="10">
        <v>10.545</v>
      </c>
      <c r="K22" s="10">
        <v>0</v>
      </c>
      <c r="L22" s="10">
        <v>91.18</v>
      </c>
      <c r="M22" s="13">
        <v>5.8289999999999997</v>
      </c>
      <c r="N22" s="13">
        <v>3.4969999999999999</v>
      </c>
      <c r="O22" s="13">
        <v>0.22900000000000001</v>
      </c>
      <c r="P22" s="13">
        <v>0.224</v>
      </c>
      <c r="Q22" s="13">
        <v>1.391</v>
      </c>
      <c r="R22" s="13">
        <v>6.9249999999999998</v>
      </c>
      <c r="S22" s="13">
        <v>0</v>
      </c>
      <c r="T22" s="13">
        <v>1.8979999999999999</v>
      </c>
      <c r="U22" s="13">
        <v>1.837</v>
      </c>
      <c r="V22" s="13">
        <v>0</v>
      </c>
      <c r="W22" s="13">
        <v>3.056</v>
      </c>
      <c r="X22" s="13">
        <v>0</v>
      </c>
      <c r="Y22" s="13">
        <v>0.106</v>
      </c>
      <c r="Z22" s="13">
        <v>3.63</v>
      </c>
      <c r="AA22" s="13">
        <v>0</v>
      </c>
      <c r="AB22" s="13">
        <v>18.251999999999999</v>
      </c>
      <c r="AC22" s="13">
        <v>1.8520000000000001</v>
      </c>
      <c r="AD22" s="13">
        <v>3.6589999999999998</v>
      </c>
      <c r="AE22" s="13">
        <v>5.8760000000000003</v>
      </c>
      <c r="AF22" s="13">
        <v>8.26</v>
      </c>
      <c r="AG22" s="13">
        <v>0</v>
      </c>
      <c r="AH22" s="13">
        <v>0</v>
      </c>
      <c r="AI22" s="13">
        <v>2.069</v>
      </c>
      <c r="AJ22" s="13">
        <v>0</v>
      </c>
      <c r="AK22" s="13">
        <v>0</v>
      </c>
      <c r="AL22" s="13">
        <v>0</v>
      </c>
      <c r="AM22" s="13">
        <v>3.6259999999999999</v>
      </c>
      <c r="AN22" s="13">
        <v>0</v>
      </c>
      <c r="AO22" s="13">
        <v>0</v>
      </c>
      <c r="AP22" s="13">
        <v>4.766</v>
      </c>
      <c r="AQ22" s="13">
        <v>7.8440000000000003</v>
      </c>
      <c r="AR22" s="10">
        <v>17.103999999999999</v>
      </c>
      <c r="AS22" s="10">
        <v>13.872999999999999</v>
      </c>
      <c r="AT22" s="10">
        <v>5.0529999999999999</v>
      </c>
      <c r="AU22" s="10">
        <v>4.5609999999999999</v>
      </c>
      <c r="AV22" s="10">
        <v>0</v>
      </c>
      <c r="AW22" s="10">
        <v>0</v>
      </c>
      <c r="AX22" s="10">
        <v>0.22900000000000001</v>
      </c>
      <c r="AY22" s="10">
        <v>1.363</v>
      </c>
      <c r="AZ22" s="10">
        <v>4.3860000000000001</v>
      </c>
      <c r="BA22" s="13">
        <v>1.0469999999999999</v>
      </c>
      <c r="BB22" s="13">
        <v>0</v>
      </c>
      <c r="BC22" s="13">
        <v>0</v>
      </c>
      <c r="BD22" s="13">
        <v>0</v>
      </c>
      <c r="BE22" s="13">
        <v>0.68100000000000005</v>
      </c>
      <c r="BF22" s="13">
        <v>3.4119999999999999</v>
      </c>
      <c r="BG22" s="13">
        <v>5.8920000000000003</v>
      </c>
      <c r="BH22" s="13">
        <v>0</v>
      </c>
      <c r="BI22" s="10">
        <v>1.579</v>
      </c>
      <c r="BJ22" s="10">
        <v>0</v>
      </c>
      <c r="BK22" s="10">
        <v>6.51</v>
      </c>
      <c r="BL22" s="13">
        <v>0</v>
      </c>
      <c r="BM22" s="13">
        <v>14.211</v>
      </c>
      <c r="BN22" s="13">
        <v>0</v>
      </c>
      <c r="BO22" s="13">
        <v>32.968000000000004</v>
      </c>
      <c r="BP22" s="13">
        <v>15.475</v>
      </c>
      <c r="BQ22" s="13">
        <v>9.1780000000000008</v>
      </c>
      <c r="BR22" s="10">
        <v>0</v>
      </c>
      <c r="BS22" s="10">
        <v>0</v>
      </c>
      <c r="BT22" s="10">
        <v>0</v>
      </c>
      <c r="BU22" s="10">
        <v>0</v>
      </c>
      <c r="BV22" s="10">
        <v>6.032</v>
      </c>
      <c r="BW22" s="10">
        <v>0</v>
      </c>
      <c r="BX22" s="13">
        <v>0.45400000000000001</v>
      </c>
      <c r="BY22" s="13">
        <v>0.316</v>
      </c>
      <c r="BZ22" s="13">
        <v>0</v>
      </c>
      <c r="CA22" s="13">
        <v>13.009</v>
      </c>
      <c r="CB22" s="13">
        <v>0</v>
      </c>
      <c r="CC22" s="13">
        <v>0.95</v>
      </c>
      <c r="CD22" s="13">
        <v>56.540999999999997</v>
      </c>
      <c r="CE22" s="13">
        <v>0</v>
      </c>
      <c r="CF22" s="13">
        <v>10.813000000000001</v>
      </c>
      <c r="CG22" s="13">
        <v>27.041</v>
      </c>
      <c r="CH22" s="13">
        <v>0</v>
      </c>
      <c r="CI22" s="13">
        <v>0</v>
      </c>
      <c r="CJ22" s="13">
        <v>3.6240000000000001</v>
      </c>
      <c r="CK22" s="13">
        <v>5.0030000000000001</v>
      </c>
      <c r="CL22" s="13">
        <v>0.34899999999999998</v>
      </c>
      <c r="CM22" s="13">
        <v>0</v>
      </c>
      <c r="CN22" s="13">
        <v>0</v>
      </c>
      <c r="CO22" s="13">
        <v>5.7839999999999998</v>
      </c>
      <c r="CP22" s="13">
        <v>5.8449999999999998</v>
      </c>
      <c r="CQ22" s="13">
        <v>2.5590000000000002</v>
      </c>
      <c r="CR22" s="13">
        <v>0</v>
      </c>
      <c r="CS22" s="10">
        <v>9.0860000000000003</v>
      </c>
      <c r="CT22" s="10">
        <v>3.4860000000000002</v>
      </c>
      <c r="CU22" s="10">
        <v>0</v>
      </c>
      <c r="CV22" s="10">
        <v>0</v>
      </c>
      <c r="CW22" s="10">
        <v>7.97</v>
      </c>
      <c r="CX22" s="10">
        <v>43.953000000000003</v>
      </c>
      <c r="CY22" s="10">
        <v>1.19</v>
      </c>
      <c r="CZ22" s="10">
        <v>0</v>
      </c>
    </row>
    <row r="23" spans="2:104" x14ac:dyDescent="0.25">
      <c r="B23" s="5" t="s">
        <v>116</v>
      </c>
      <c r="C23" s="10">
        <v>2.3660000000000001</v>
      </c>
      <c r="D23" s="10">
        <v>0</v>
      </c>
      <c r="E23" s="10">
        <v>0</v>
      </c>
      <c r="F23" s="10">
        <v>0</v>
      </c>
      <c r="G23" s="10">
        <v>0.71799999999999997</v>
      </c>
      <c r="H23" s="10">
        <v>12.986000000000001</v>
      </c>
      <c r="I23" s="10">
        <v>0</v>
      </c>
      <c r="J23" s="10">
        <v>5.2729999999999997</v>
      </c>
      <c r="K23" s="10">
        <v>0</v>
      </c>
      <c r="L23" s="10">
        <v>0</v>
      </c>
      <c r="M23" s="13">
        <v>3.4969999999999999</v>
      </c>
      <c r="N23" s="13">
        <v>0</v>
      </c>
      <c r="O23" s="13">
        <v>0.22900000000000001</v>
      </c>
      <c r="P23" s="13">
        <v>0</v>
      </c>
      <c r="Q23" s="13">
        <v>0</v>
      </c>
      <c r="R23" s="13">
        <v>6.9249999999999998</v>
      </c>
      <c r="S23" s="13">
        <v>0</v>
      </c>
      <c r="T23" s="13">
        <v>1.8979999999999999</v>
      </c>
      <c r="U23" s="13">
        <v>1.8959999999999999</v>
      </c>
      <c r="V23" s="13">
        <v>3.3420000000000001</v>
      </c>
      <c r="W23" s="13">
        <v>2.2919999999999998</v>
      </c>
      <c r="X23" s="13">
        <v>4.0380000000000003</v>
      </c>
      <c r="Y23" s="13">
        <v>0.106</v>
      </c>
      <c r="Z23" s="13">
        <v>4.6139999999999999</v>
      </c>
      <c r="AA23" s="13">
        <v>5.8570000000000002</v>
      </c>
      <c r="AB23" s="13">
        <v>0</v>
      </c>
      <c r="AC23" s="13">
        <v>0</v>
      </c>
      <c r="AD23" s="13">
        <v>0</v>
      </c>
      <c r="AE23" s="13">
        <v>16.905000000000001</v>
      </c>
      <c r="AF23" s="13">
        <v>4.2750000000000004</v>
      </c>
      <c r="AG23" s="13">
        <v>0</v>
      </c>
      <c r="AH23" s="13">
        <v>0.16700000000000001</v>
      </c>
      <c r="AI23" s="13">
        <v>2.069</v>
      </c>
      <c r="AJ23" s="13">
        <v>0</v>
      </c>
      <c r="AK23" s="13">
        <v>0.33900000000000002</v>
      </c>
      <c r="AL23" s="13">
        <v>0</v>
      </c>
      <c r="AM23" s="13">
        <v>18.13</v>
      </c>
      <c r="AN23" s="13">
        <v>8.6560000000000006</v>
      </c>
      <c r="AO23" s="13">
        <v>16.771999999999998</v>
      </c>
      <c r="AP23" s="13">
        <v>10.363</v>
      </c>
      <c r="AQ23" s="13">
        <v>14.672000000000001</v>
      </c>
      <c r="AR23" s="10">
        <v>1.9379999999999999</v>
      </c>
      <c r="AS23" s="10">
        <v>7.367</v>
      </c>
      <c r="AT23" s="10">
        <v>15.159000000000001</v>
      </c>
      <c r="AU23" s="10">
        <v>13.683</v>
      </c>
      <c r="AV23" s="10">
        <v>12.661</v>
      </c>
      <c r="AW23" s="10">
        <v>4.3479999999999999</v>
      </c>
      <c r="AX23" s="10">
        <v>0.45800000000000002</v>
      </c>
      <c r="AY23" s="10">
        <v>0</v>
      </c>
      <c r="AZ23" s="10">
        <v>0</v>
      </c>
      <c r="BA23" s="13">
        <v>2.403</v>
      </c>
      <c r="BB23" s="13">
        <v>0</v>
      </c>
      <c r="BC23" s="13">
        <v>0.17899999999999999</v>
      </c>
      <c r="BD23" s="13">
        <v>0.16700000000000001</v>
      </c>
      <c r="BE23" s="13">
        <v>0</v>
      </c>
      <c r="BF23" s="13">
        <v>0</v>
      </c>
      <c r="BG23" s="13">
        <v>3.6850000000000001</v>
      </c>
      <c r="BH23" s="13">
        <v>0</v>
      </c>
      <c r="BI23" s="10">
        <v>4.7380000000000004</v>
      </c>
      <c r="BJ23" s="10">
        <v>5.2009999999999996</v>
      </c>
      <c r="BK23" s="10">
        <v>0</v>
      </c>
      <c r="BL23" s="13">
        <v>12.481999999999999</v>
      </c>
      <c r="BM23" s="13">
        <v>23.082999999999998</v>
      </c>
      <c r="BN23" s="13">
        <v>0</v>
      </c>
      <c r="BO23" s="13">
        <v>0</v>
      </c>
      <c r="BP23" s="13">
        <v>13.491</v>
      </c>
      <c r="BQ23" s="13">
        <v>0</v>
      </c>
      <c r="BR23" s="10">
        <v>0.61499999999999999</v>
      </c>
      <c r="BS23" s="10">
        <v>3.016</v>
      </c>
      <c r="BT23" s="10">
        <v>6.4379999999999997</v>
      </c>
      <c r="BU23" s="10">
        <v>0</v>
      </c>
      <c r="BV23" s="10">
        <v>0</v>
      </c>
      <c r="BW23" s="10">
        <v>0</v>
      </c>
      <c r="BX23" s="13">
        <v>1.24</v>
      </c>
      <c r="BY23" s="13">
        <v>0.97699999999999998</v>
      </c>
      <c r="BZ23" s="13">
        <v>0</v>
      </c>
      <c r="CA23" s="13">
        <v>0</v>
      </c>
      <c r="CB23" s="13">
        <v>12.615</v>
      </c>
      <c r="CC23" s="13">
        <v>3.0950000000000002</v>
      </c>
      <c r="CD23" s="13">
        <v>10.928000000000001</v>
      </c>
      <c r="CE23" s="13">
        <v>18.978999999999999</v>
      </c>
      <c r="CF23" s="13">
        <v>13.492000000000001</v>
      </c>
      <c r="CG23" s="13">
        <v>39.156999999999996</v>
      </c>
      <c r="CH23" s="13">
        <v>0</v>
      </c>
      <c r="CI23" s="13">
        <v>0</v>
      </c>
      <c r="CJ23" s="13">
        <v>0</v>
      </c>
      <c r="CK23" s="13">
        <v>28.681000000000001</v>
      </c>
      <c r="CL23" s="13">
        <v>0</v>
      </c>
      <c r="CM23" s="13">
        <v>0</v>
      </c>
      <c r="CN23" s="13">
        <v>2.7719999999999998</v>
      </c>
      <c r="CO23" s="13">
        <v>0</v>
      </c>
      <c r="CP23" s="13">
        <v>3.8969999999999998</v>
      </c>
      <c r="CQ23" s="13">
        <v>2.4980000000000002</v>
      </c>
      <c r="CR23" s="13">
        <v>3.8050000000000002</v>
      </c>
      <c r="CS23" s="10">
        <v>10.994999999999999</v>
      </c>
      <c r="CT23" s="10">
        <v>4.859</v>
      </c>
      <c r="CU23" s="10">
        <v>2.4900000000000002</v>
      </c>
      <c r="CV23" s="10">
        <v>1.1950000000000001</v>
      </c>
      <c r="CW23" s="10">
        <v>0</v>
      </c>
      <c r="CX23" s="10">
        <v>15.09</v>
      </c>
      <c r="CY23" s="10">
        <v>1.19</v>
      </c>
      <c r="CZ23" s="10">
        <v>1.218</v>
      </c>
    </row>
    <row r="24" spans="2:104" x14ac:dyDescent="0.25">
      <c r="B24" s="5" t="s">
        <v>115</v>
      </c>
      <c r="C24" s="10">
        <v>24.532</v>
      </c>
      <c r="D24" s="10">
        <v>0</v>
      </c>
      <c r="E24" s="10">
        <v>0.434</v>
      </c>
      <c r="F24" s="10">
        <v>0</v>
      </c>
      <c r="G24" s="10">
        <v>0</v>
      </c>
      <c r="H24" s="10">
        <v>0</v>
      </c>
      <c r="I24" s="10">
        <v>18.582999999999998</v>
      </c>
      <c r="J24" s="10">
        <v>0</v>
      </c>
      <c r="K24" s="10">
        <v>41.119</v>
      </c>
      <c r="L24" s="10">
        <v>0</v>
      </c>
      <c r="M24" s="13">
        <v>0</v>
      </c>
      <c r="N24" s="13">
        <v>3.4969999999999999</v>
      </c>
      <c r="O24" s="13">
        <v>0</v>
      </c>
      <c r="P24" s="13">
        <v>0</v>
      </c>
      <c r="Q24" s="13">
        <v>0</v>
      </c>
      <c r="R24" s="13">
        <v>5.194</v>
      </c>
      <c r="S24" s="13">
        <v>0</v>
      </c>
      <c r="T24" s="13">
        <v>2.847</v>
      </c>
      <c r="U24" s="13">
        <v>3.2160000000000002</v>
      </c>
      <c r="V24" s="13">
        <v>1.671</v>
      </c>
      <c r="W24" s="13">
        <v>0.76400000000000001</v>
      </c>
      <c r="X24" s="13">
        <v>0.75600000000000001</v>
      </c>
      <c r="Y24" s="13">
        <v>1.482</v>
      </c>
      <c r="Z24" s="13">
        <v>0</v>
      </c>
      <c r="AA24" s="13">
        <v>17.57</v>
      </c>
      <c r="AB24" s="13">
        <v>0</v>
      </c>
      <c r="AC24" s="13">
        <v>0.79600000000000004</v>
      </c>
      <c r="AD24" s="13">
        <v>0</v>
      </c>
      <c r="AE24" s="13">
        <v>18.004999999999999</v>
      </c>
      <c r="AF24" s="13">
        <v>4.2779999999999996</v>
      </c>
      <c r="AG24" s="13">
        <v>20.035</v>
      </c>
      <c r="AH24" s="13">
        <v>0.16700000000000001</v>
      </c>
      <c r="AI24" s="13">
        <v>0</v>
      </c>
      <c r="AJ24" s="13">
        <v>3.262</v>
      </c>
      <c r="AK24" s="13">
        <v>0.438</v>
      </c>
      <c r="AL24" s="13">
        <v>0.33900000000000002</v>
      </c>
      <c r="AM24" s="13">
        <v>0</v>
      </c>
      <c r="AN24" s="13">
        <v>3.3420000000000001</v>
      </c>
      <c r="AO24" s="13">
        <v>6.8719999999999999</v>
      </c>
      <c r="AP24" s="13">
        <v>2.1659999999999999</v>
      </c>
      <c r="AQ24" s="13">
        <v>23.532</v>
      </c>
      <c r="AR24" s="10">
        <v>20.061</v>
      </c>
      <c r="AS24" s="10">
        <v>6.0650000000000004</v>
      </c>
      <c r="AT24" s="10">
        <v>5.0529999999999999</v>
      </c>
      <c r="AU24" s="10">
        <v>6.7539999999999996</v>
      </c>
      <c r="AV24" s="10">
        <v>0</v>
      </c>
      <c r="AW24" s="10">
        <v>3.504</v>
      </c>
      <c r="AX24" s="10">
        <v>0.45800000000000002</v>
      </c>
      <c r="AY24" s="10">
        <v>0</v>
      </c>
      <c r="AZ24" s="10">
        <v>9.984</v>
      </c>
      <c r="BA24" s="13">
        <v>0</v>
      </c>
      <c r="BB24" s="13">
        <v>0</v>
      </c>
      <c r="BC24" s="13">
        <v>0</v>
      </c>
      <c r="BD24" s="13">
        <v>0.501</v>
      </c>
      <c r="BE24" s="13">
        <v>0.34</v>
      </c>
      <c r="BF24" s="13">
        <v>0</v>
      </c>
      <c r="BG24" s="13">
        <v>0</v>
      </c>
      <c r="BH24" s="13">
        <v>0</v>
      </c>
      <c r="BI24" s="10">
        <v>3.1589999999999998</v>
      </c>
      <c r="BJ24" s="10">
        <v>0</v>
      </c>
      <c r="BK24" s="10">
        <v>0.4</v>
      </c>
      <c r="BL24" s="13">
        <v>0</v>
      </c>
      <c r="BM24" s="13">
        <v>0</v>
      </c>
      <c r="BN24" s="13">
        <v>25.792000000000002</v>
      </c>
      <c r="BO24" s="13">
        <v>12.821</v>
      </c>
      <c r="BP24" s="13">
        <v>24.338000000000001</v>
      </c>
      <c r="BQ24" s="13">
        <v>1.3660000000000001</v>
      </c>
      <c r="BR24" s="10">
        <v>2.9129999999999998</v>
      </c>
      <c r="BS24" s="10">
        <v>0</v>
      </c>
      <c r="BT24" s="10">
        <v>1.7989999999999999</v>
      </c>
      <c r="BU24" s="10">
        <v>0</v>
      </c>
      <c r="BV24" s="10">
        <v>0.74199999999999999</v>
      </c>
      <c r="BW24" s="10">
        <v>4.9530000000000003</v>
      </c>
      <c r="BX24" s="13">
        <v>0.747</v>
      </c>
      <c r="BY24" s="13">
        <v>0.35899999999999999</v>
      </c>
      <c r="BZ24" s="13">
        <v>1.3340000000000001</v>
      </c>
      <c r="CA24" s="13">
        <v>12.528</v>
      </c>
      <c r="CB24" s="13">
        <v>0</v>
      </c>
      <c r="CC24" s="13">
        <v>0</v>
      </c>
      <c r="CD24" s="13">
        <v>0</v>
      </c>
      <c r="CE24" s="13">
        <v>5.1660000000000004</v>
      </c>
      <c r="CF24" s="13">
        <v>7.5869999999999997</v>
      </c>
      <c r="CG24" s="13">
        <v>2.722</v>
      </c>
      <c r="CH24" s="13">
        <v>1.3160000000000001</v>
      </c>
      <c r="CI24" s="13">
        <v>2.149</v>
      </c>
      <c r="CJ24" s="13">
        <v>0</v>
      </c>
      <c r="CK24" s="13">
        <v>9.7880000000000003</v>
      </c>
      <c r="CL24" s="13">
        <v>0.64</v>
      </c>
      <c r="CM24" s="13">
        <v>0.127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0">
        <v>6.391</v>
      </c>
      <c r="CT24" s="10">
        <v>3.0529999999999999</v>
      </c>
      <c r="CU24" s="10">
        <v>2.9390000000000001</v>
      </c>
      <c r="CV24" s="10">
        <v>1.792</v>
      </c>
      <c r="CW24" s="10">
        <v>0</v>
      </c>
      <c r="CX24" s="10">
        <v>21.853999999999999</v>
      </c>
      <c r="CY24" s="10">
        <v>0</v>
      </c>
      <c r="CZ24" s="10">
        <v>1.349</v>
      </c>
    </row>
    <row r="25" spans="2:104" x14ac:dyDescent="0.25">
      <c r="B25" s="5" t="s">
        <v>114</v>
      </c>
      <c r="C25" s="10">
        <v>91.834999999999994</v>
      </c>
      <c r="D25" s="10">
        <v>0.223</v>
      </c>
      <c r="E25" s="10">
        <v>0</v>
      </c>
      <c r="F25" s="10">
        <v>0</v>
      </c>
      <c r="G25" s="10">
        <v>0.71799999999999997</v>
      </c>
      <c r="H25" s="10">
        <v>0</v>
      </c>
      <c r="I25" s="10">
        <v>9.2910000000000004</v>
      </c>
      <c r="J25" s="10">
        <v>5.7350000000000003</v>
      </c>
      <c r="K25" s="10">
        <v>13.811999999999999</v>
      </c>
      <c r="L25" s="10">
        <v>52.853999999999999</v>
      </c>
      <c r="M25" s="13">
        <v>3.4969999999999999</v>
      </c>
      <c r="N25" s="13">
        <v>2.331</v>
      </c>
      <c r="O25" s="13">
        <v>0.76200000000000001</v>
      </c>
      <c r="P25" s="13">
        <v>0</v>
      </c>
      <c r="Q25" s="13">
        <v>0</v>
      </c>
      <c r="R25" s="13">
        <v>0</v>
      </c>
      <c r="S25" s="13">
        <v>1.079</v>
      </c>
      <c r="T25" s="13">
        <v>0.94899999999999995</v>
      </c>
      <c r="U25" s="13">
        <v>2.1749999999999998</v>
      </c>
      <c r="V25" s="13">
        <v>5.3650000000000002</v>
      </c>
      <c r="W25" s="13">
        <v>3.056</v>
      </c>
      <c r="X25" s="13">
        <v>0.378</v>
      </c>
      <c r="Y25" s="13">
        <v>0.29599999999999999</v>
      </c>
      <c r="Z25" s="13">
        <v>4.2409999999999997</v>
      </c>
      <c r="AA25" s="13">
        <v>6.6929999999999996</v>
      </c>
      <c r="AB25" s="13">
        <v>0</v>
      </c>
      <c r="AC25" s="13">
        <v>0</v>
      </c>
      <c r="AD25" s="13">
        <v>0</v>
      </c>
      <c r="AE25" s="13">
        <v>8.4559999999999995</v>
      </c>
      <c r="AF25" s="13">
        <v>5.73</v>
      </c>
      <c r="AG25" s="13">
        <v>0.52800000000000002</v>
      </c>
      <c r="AH25" s="13">
        <v>0.5</v>
      </c>
      <c r="AI25" s="13">
        <v>5.3319999999999999</v>
      </c>
      <c r="AJ25" s="13">
        <v>0.90600000000000003</v>
      </c>
      <c r="AK25" s="13">
        <v>0</v>
      </c>
      <c r="AL25" s="13">
        <v>0.438</v>
      </c>
      <c r="AM25" s="13">
        <v>3.6259999999999999</v>
      </c>
      <c r="AN25" s="13">
        <v>0</v>
      </c>
      <c r="AO25" s="13">
        <v>15.805999999999999</v>
      </c>
      <c r="AP25" s="13">
        <v>17.510999999999999</v>
      </c>
      <c r="AQ25" s="13">
        <v>15.688000000000001</v>
      </c>
      <c r="AR25" s="10">
        <v>0</v>
      </c>
      <c r="AS25" s="10">
        <v>18.837</v>
      </c>
      <c r="AT25" s="10">
        <v>0</v>
      </c>
      <c r="AU25" s="10">
        <v>6.7539999999999996</v>
      </c>
      <c r="AV25" s="10">
        <v>6.4130000000000003</v>
      </c>
      <c r="AW25" s="10">
        <v>5.5</v>
      </c>
      <c r="AX25" s="10">
        <v>0.26900000000000002</v>
      </c>
      <c r="AY25" s="10">
        <v>2.726</v>
      </c>
      <c r="AZ25" s="10">
        <v>9.984</v>
      </c>
      <c r="BA25" s="13">
        <v>0.93300000000000005</v>
      </c>
      <c r="BB25" s="13">
        <v>0</v>
      </c>
      <c r="BC25" s="13">
        <v>0</v>
      </c>
      <c r="BD25" s="13">
        <v>0.16700000000000001</v>
      </c>
      <c r="BE25" s="13">
        <v>1.3620000000000001</v>
      </c>
      <c r="BF25" s="13">
        <v>0</v>
      </c>
      <c r="BG25" s="13">
        <v>3.2970000000000002</v>
      </c>
      <c r="BH25" s="13">
        <v>4.8179999999999996</v>
      </c>
      <c r="BI25" s="10">
        <v>0</v>
      </c>
      <c r="BJ25" s="10">
        <v>0</v>
      </c>
      <c r="BK25" s="10">
        <v>6.4349999999999996</v>
      </c>
      <c r="BL25" s="13">
        <v>24.963000000000001</v>
      </c>
      <c r="BM25" s="13">
        <v>23.082999999999998</v>
      </c>
      <c r="BN25" s="13">
        <v>32.063000000000002</v>
      </c>
      <c r="BO25" s="13">
        <v>12.821</v>
      </c>
      <c r="BP25" s="13">
        <v>8.1129999999999995</v>
      </c>
      <c r="BQ25" s="13">
        <v>0</v>
      </c>
      <c r="BR25" s="10">
        <v>1.204</v>
      </c>
      <c r="BS25" s="10">
        <v>6.24</v>
      </c>
      <c r="BT25" s="10">
        <v>0</v>
      </c>
      <c r="BU25" s="10">
        <v>4.431</v>
      </c>
      <c r="BV25" s="10">
        <v>4.524</v>
      </c>
      <c r="BW25" s="10">
        <v>2.0190000000000001</v>
      </c>
      <c r="BX25" s="13">
        <v>1.494</v>
      </c>
      <c r="BY25" s="13">
        <v>0.34200000000000003</v>
      </c>
      <c r="BZ25" s="13">
        <v>0</v>
      </c>
      <c r="CA25" s="13">
        <v>0</v>
      </c>
      <c r="CB25" s="13">
        <v>0</v>
      </c>
      <c r="CC25" s="13">
        <v>0</v>
      </c>
      <c r="CD25" s="13">
        <v>8.7260000000000009</v>
      </c>
      <c r="CE25" s="13">
        <v>32.536999999999999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0.76500000000000001</v>
      </c>
      <c r="CM25" s="13">
        <v>8.3819999999999997</v>
      </c>
      <c r="CN25" s="13">
        <v>2.0299999999999998</v>
      </c>
      <c r="CO25" s="13">
        <v>0</v>
      </c>
      <c r="CP25" s="13">
        <v>0</v>
      </c>
      <c r="CQ25" s="13">
        <v>4.6130000000000004</v>
      </c>
      <c r="CR25" s="13">
        <v>0</v>
      </c>
      <c r="CS25" s="10">
        <v>0</v>
      </c>
      <c r="CT25" s="10">
        <v>1.115</v>
      </c>
      <c r="CU25" s="10">
        <v>2.8490000000000002</v>
      </c>
      <c r="CV25" s="10">
        <v>1.792</v>
      </c>
      <c r="CW25" s="10">
        <v>0</v>
      </c>
      <c r="CX25" s="10">
        <v>13.53</v>
      </c>
      <c r="CY25" s="10">
        <v>0</v>
      </c>
      <c r="CZ25" s="10">
        <v>0</v>
      </c>
    </row>
    <row r="26" spans="2:104" x14ac:dyDescent="0.25">
      <c r="B26" s="5" t="s">
        <v>113</v>
      </c>
      <c r="C26" s="10">
        <v>75.933999999999997</v>
      </c>
      <c r="D26" s="10">
        <v>2.3519999999999999</v>
      </c>
      <c r="E26" s="10">
        <v>1.3029999999999999</v>
      </c>
      <c r="F26" s="10">
        <v>4.3639999999999999</v>
      </c>
      <c r="G26" s="10">
        <v>0.52700000000000002</v>
      </c>
      <c r="H26" s="10">
        <v>0</v>
      </c>
      <c r="I26" s="10">
        <v>27.873999999999999</v>
      </c>
      <c r="J26" s="10">
        <v>2.6360000000000001</v>
      </c>
      <c r="K26" s="10">
        <v>0</v>
      </c>
      <c r="L26" s="10">
        <v>0</v>
      </c>
      <c r="M26" s="13">
        <v>2.331</v>
      </c>
      <c r="N26" s="13">
        <v>2.214</v>
      </c>
      <c r="O26" s="13">
        <v>0.254</v>
      </c>
      <c r="P26" s="13">
        <v>0.14000000000000001</v>
      </c>
      <c r="Q26" s="13">
        <v>2.0859999999999999</v>
      </c>
      <c r="R26" s="13">
        <v>0.313</v>
      </c>
      <c r="S26" s="13">
        <v>0</v>
      </c>
      <c r="T26" s="13">
        <v>1.423</v>
      </c>
      <c r="U26" s="13">
        <v>1.5489999999999999</v>
      </c>
      <c r="V26" s="13">
        <v>0</v>
      </c>
      <c r="W26" s="13">
        <v>0</v>
      </c>
      <c r="X26" s="13">
        <v>0.75600000000000001</v>
      </c>
      <c r="Y26" s="13">
        <v>0.59299999999999997</v>
      </c>
      <c r="Z26" s="13">
        <v>8.3040000000000003</v>
      </c>
      <c r="AA26" s="13">
        <v>6.4180000000000001</v>
      </c>
      <c r="AB26" s="13">
        <v>11.353</v>
      </c>
      <c r="AC26" s="13">
        <v>0.91700000000000004</v>
      </c>
      <c r="AD26" s="13">
        <v>0</v>
      </c>
      <c r="AE26" s="13">
        <v>0</v>
      </c>
      <c r="AF26" s="13">
        <v>4.72</v>
      </c>
      <c r="AG26" s="13">
        <v>9.8529999999999998</v>
      </c>
      <c r="AH26" s="13">
        <v>0.5</v>
      </c>
      <c r="AI26" s="13">
        <v>3.9990000000000001</v>
      </c>
      <c r="AJ26" s="13">
        <v>0</v>
      </c>
      <c r="AK26" s="13">
        <v>0.625</v>
      </c>
      <c r="AL26" s="13">
        <v>0</v>
      </c>
      <c r="AM26" s="13">
        <v>15.949</v>
      </c>
      <c r="AN26" s="13">
        <v>0</v>
      </c>
      <c r="AO26" s="13">
        <v>17.367999999999999</v>
      </c>
      <c r="AP26" s="13">
        <v>12.5</v>
      </c>
      <c r="AQ26" s="13">
        <v>0.71699999999999997</v>
      </c>
      <c r="AR26" s="10">
        <v>22.91</v>
      </c>
      <c r="AS26" s="10">
        <v>16.052</v>
      </c>
      <c r="AT26" s="10">
        <v>5.0529999999999999</v>
      </c>
      <c r="AU26" s="10">
        <v>13.509</v>
      </c>
      <c r="AV26" s="10">
        <v>4.2640000000000002</v>
      </c>
      <c r="AW26" s="10">
        <v>4.8819999999999997</v>
      </c>
      <c r="AX26" s="10">
        <v>0</v>
      </c>
      <c r="AY26" s="10">
        <v>0</v>
      </c>
      <c r="AZ26" s="10">
        <v>0</v>
      </c>
      <c r="BA26" s="13">
        <v>0</v>
      </c>
      <c r="BB26" s="13">
        <v>0</v>
      </c>
      <c r="BC26" s="13">
        <v>0</v>
      </c>
      <c r="BD26" s="13">
        <v>0.28899999999999998</v>
      </c>
      <c r="BE26" s="13">
        <v>0.34</v>
      </c>
      <c r="BF26" s="13">
        <v>6.8230000000000004</v>
      </c>
      <c r="BG26" s="13">
        <v>0</v>
      </c>
      <c r="BH26" s="13">
        <v>1.6060000000000001</v>
      </c>
      <c r="BI26" s="10">
        <v>6.04</v>
      </c>
      <c r="BJ26" s="10">
        <v>0</v>
      </c>
      <c r="BK26" s="10">
        <v>2.145</v>
      </c>
      <c r="BL26" s="13">
        <v>12.481999999999999</v>
      </c>
      <c r="BM26" s="13">
        <v>0</v>
      </c>
      <c r="BN26" s="13">
        <v>0</v>
      </c>
      <c r="BO26" s="13">
        <v>25.640999999999998</v>
      </c>
      <c r="BP26" s="13">
        <v>8.1129999999999995</v>
      </c>
      <c r="BQ26" s="13">
        <v>32.045999999999999</v>
      </c>
      <c r="BR26" s="10">
        <v>2.9830000000000001</v>
      </c>
      <c r="BS26" s="10">
        <v>2.08</v>
      </c>
      <c r="BT26" s="10">
        <v>0</v>
      </c>
      <c r="BU26" s="10">
        <v>0</v>
      </c>
      <c r="BV26" s="10">
        <v>0.74199999999999999</v>
      </c>
      <c r="BW26" s="10">
        <v>0</v>
      </c>
      <c r="BX26" s="13">
        <v>0</v>
      </c>
      <c r="BY26" s="13">
        <v>0.73899999999999999</v>
      </c>
      <c r="BZ26" s="13">
        <v>9.5009999999999994</v>
      </c>
      <c r="CA26" s="13">
        <v>0</v>
      </c>
      <c r="CB26" s="13">
        <v>0</v>
      </c>
      <c r="CC26" s="13">
        <v>2.794</v>
      </c>
      <c r="CD26" s="13">
        <v>3.254</v>
      </c>
      <c r="CE26" s="13">
        <v>0.65700000000000003</v>
      </c>
      <c r="CF26" s="13">
        <v>18.265999999999998</v>
      </c>
      <c r="CG26" s="13">
        <v>14.885999999999999</v>
      </c>
      <c r="CH26" s="13">
        <v>1.359</v>
      </c>
      <c r="CI26" s="13">
        <v>2.0030000000000001</v>
      </c>
      <c r="CJ26" s="13">
        <v>0.752</v>
      </c>
      <c r="CK26" s="13">
        <v>0</v>
      </c>
      <c r="CL26" s="13">
        <v>4.1619999999999999</v>
      </c>
      <c r="CM26" s="13">
        <v>2.794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0">
        <v>0</v>
      </c>
      <c r="CT26" s="10">
        <v>2.6419999999999999</v>
      </c>
      <c r="CU26" s="10">
        <v>0</v>
      </c>
      <c r="CV26" s="10">
        <v>1.1950000000000001</v>
      </c>
      <c r="CW26" s="10">
        <v>0</v>
      </c>
      <c r="CX26" s="10">
        <v>6.89</v>
      </c>
      <c r="CY26" s="10">
        <v>0</v>
      </c>
      <c r="CZ26" s="10">
        <v>1.349</v>
      </c>
    </row>
    <row r="27" spans="2:104" x14ac:dyDescent="0.25">
      <c r="B27" s="5" t="s">
        <v>112</v>
      </c>
      <c r="C27" s="10">
        <v>54.746000000000002</v>
      </c>
      <c r="D27" s="10">
        <v>4.3179999999999996</v>
      </c>
      <c r="E27" s="10">
        <v>0.86899999999999999</v>
      </c>
      <c r="F27" s="10">
        <v>0</v>
      </c>
      <c r="G27" s="10">
        <v>1.5820000000000001</v>
      </c>
      <c r="H27" s="10">
        <v>1.048</v>
      </c>
      <c r="I27" s="10">
        <v>1.123</v>
      </c>
      <c r="J27" s="10">
        <v>0</v>
      </c>
      <c r="K27" s="10">
        <v>38.451999999999998</v>
      </c>
      <c r="L27" s="10">
        <v>0</v>
      </c>
      <c r="M27" s="13">
        <v>2.214</v>
      </c>
      <c r="N27" s="13">
        <v>3.3220000000000001</v>
      </c>
      <c r="O27" s="13">
        <v>0.76200000000000001</v>
      </c>
      <c r="P27" s="13">
        <v>0</v>
      </c>
      <c r="Q27" s="13">
        <v>0</v>
      </c>
      <c r="R27" s="13">
        <v>0</v>
      </c>
      <c r="S27" s="13">
        <v>0.81</v>
      </c>
      <c r="T27" s="13">
        <v>2.8319999999999999</v>
      </c>
      <c r="U27" s="13">
        <v>3.2410000000000001</v>
      </c>
      <c r="V27" s="13">
        <v>1.788</v>
      </c>
      <c r="W27" s="13">
        <v>2.173</v>
      </c>
      <c r="X27" s="13">
        <v>0.75600000000000001</v>
      </c>
      <c r="Y27" s="13">
        <v>0</v>
      </c>
      <c r="Z27" s="13">
        <v>0</v>
      </c>
      <c r="AA27" s="13">
        <v>15.646000000000001</v>
      </c>
      <c r="AB27" s="13">
        <v>7.569</v>
      </c>
      <c r="AC27" s="13">
        <v>0.67600000000000005</v>
      </c>
      <c r="AD27" s="13">
        <v>0</v>
      </c>
      <c r="AE27" s="13">
        <v>0</v>
      </c>
      <c r="AF27" s="13">
        <v>4.4219999999999997</v>
      </c>
      <c r="AG27" s="13">
        <v>4.0590000000000002</v>
      </c>
      <c r="AH27" s="13">
        <v>1.0089999999999999</v>
      </c>
      <c r="AI27" s="13">
        <v>6.2460000000000004</v>
      </c>
      <c r="AJ27" s="13">
        <v>7.2949999999999999</v>
      </c>
      <c r="AK27" s="13">
        <v>0</v>
      </c>
      <c r="AL27" s="13">
        <v>0.625</v>
      </c>
      <c r="AM27" s="13">
        <v>3.1659999999999999</v>
      </c>
      <c r="AN27" s="13">
        <v>14.281000000000001</v>
      </c>
      <c r="AO27" s="13">
        <v>0</v>
      </c>
      <c r="AP27" s="13">
        <v>3.4569999999999999</v>
      </c>
      <c r="AQ27" s="13">
        <v>0</v>
      </c>
      <c r="AR27" s="10">
        <v>5.32</v>
      </c>
      <c r="AS27" s="10">
        <v>39.902000000000001</v>
      </c>
      <c r="AT27" s="10">
        <v>0</v>
      </c>
      <c r="AU27" s="10">
        <v>0</v>
      </c>
      <c r="AV27" s="10">
        <v>0</v>
      </c>
      <c r="AW27" s="10">
        <v>4.2930000000000001</v>
      </c>
      <c r="AX27" s="10">
        <v>0.157</v>
      </c>
      <c r="AY27" s="10">
        <v>2.073</v>
      </c>
      <c r="AZ27" s="10">
        <v>0</v>
      </c>
      <c r="BA27" s="13">
        <v>0.58399999999999996</v>
      </c>
      <c r="BB27" s="13">
        <v>0</v>
      </c>
      <c r="BC27" s="13">
        <v>0</v>
      </c>
      <c r="BD27" s="13">
        <v>0.28899999999999998</v>
      </c>
      <c r="BE27" s="13">
        <v>0.79500000000000004</v>
      </c>
      <c r="BF27" s="13">
        <v>0</v>
      </c>
      <c r="BG27" s="13">
        <v>1.649</v>
      </c>
      <c r="BH27" s="13">
        <v>0</v>
      </c>
      <c r="BI27" s="10">
        <v>0</v>
      </c>
      <c r="BJ27" s="10">
        <v>0</v>
      </c>
      <c r="BK27" s="10">
        <v>2.0579999999999998</v>
      </c>
      <c r="BL27" s="13">
        <v>0</v>
      </c>
      <c r="BM27" s="13">
        <v>22.282</v>
      </c>
      <c r="BN27" s="13">
        <v>25.792000000000002</v>
      </c>
      <c r="BO27" s="13">
        <v>0</v>
      </c>
      <c r="BP27" s="13">
        <v>37.087000000000003</v>
      </c>
      <c r="BQ27" s="13">
        <v>10.526</v>
      </c>
      <c r="BR27" s="10">
        <v>2.6469999999999998</v>
      </c>
      <c r="BS27" s="10">
        <v>2.08</v>
      </c>
      <c r="BT27" s="10">
        <v>3.016</v>
      </c>
      <c r="BU27" s="10">
        <v>0</v>
      </c>
      <c r="BV27" s="10">
        <v>0</v>
      </c>
      <c r="BW27" s="10">
        <v>0</v>
      </c>
      <c r="BX27" s="13">
        <v>0</v>
      </c>
      <c r="BY27" s="13">
        <v>0.10100000000000001</v>
      </c>
      <c r="BZ27" s="13">
        <v>15.987</v>
      </c>
      <c r="CA27" s="13">
        <v>18.792000000000002</v>
      </c>
      <c r="CB27" s="13">
        <v>7.5730000000000004</v>
      </c>
      <c r="CC27" s="13">
        <v>6.1909999999999998</v>
      </c>
      <c r="CD27" s="13">
        <v>0</v>
      </c>
      <c r="CE27" s="13">
        <v>20.795999999999999</v>
      </c>
      <c r="CF27" s="13">
        <v>0</v>
      </c>
      <c r="CG27" s="13">
        <v>26.603000000000002</v>
      </c>
      <c r="CH27" s="13">
        <v>1.8360000000000001</v>
      </c>
      <c r="CI27" s="13">
        <v>0</v>
      </c>
      <c r="CJ27" s="13">
        <v>0.83199999999999996</v>
      </c>
      <c r="CK27" s="13">
        <v>26.806999999999999</v>
      </c>
      <c r="CL27" s="13">
        <v>0</v>
      </c>
      <c r="CM27" s="13">
        <v>0</v>
      </c>
      <c r="CN27" s="13">
        <v>3.415</v>
      </c>
      <c r="CO27" s="13">
        <v>0</v>
      </c>
      <c r="CP27" s="13">
        <v>6.0279999999999996</v>
      </c>
      <c r="CQ27" s="13">
        <v>6.891</v>
      </c>
      <c r="CR27" s="13">
        <v>0</v>
      </c>
      <c r="CS27" s="10">
        <v>1.6160000000000001</v>
      </c>
      <c r="CT27" s="10">
        <v>0.59399999999999997</v>
      </c>
      <c r="CU27" s="10">
        <v>0</v>
      </c>
      <c r="CV27" s="10">
        <v>0</v>
      </c>
      <c r="CW27" s="10">
        <v>0</v>
      </c>
      <c r="CX27" s="10">
        <v>13.535</v>
      </c>
      <c r="CY27" s="10">
        <v>0</v>
      </c>
      <c r="CZ27" s="10">
        <v>0</v>
      </c>
    </row>
    <row r="28" spans="2:104" x14ac:dyDescent="0.25">
      <c r="B28" s="5" t="s">
        <v>111</v>
      </c>
      <c r="C28" s="10">
        <v>3.0870000000000002</v>
      </c>
      <c r="D28" s="10">
        <v>3.28</v>
      </c>
      <c r="E28" s="10">
        <v>0</v>
      </c>
      <c r="F28" s="10">
        <v>0</v>
      </c>
      <c r="G28" s="10">
        <v>0</v>
      </c>
      <c r="H28" s="10">
        <v>0</v>
      </c>
      <c r="I28" s="10">
        <v>30.940999999999999</v>
      </c>
      <c r="J28" s="10">
        <v>18.582999999999998</v>
      </c>
      <c r="K28" s="10">
        <v>0</v>
      </c>
      <c r="L28" s="10">
        <v>61.314</v>
      </c>
      <c r="M28" s="13">
        <v>3.3220000000000001</v>
      </c>
      <c r="N28" s="13">
        <v>5.5359999999999996</v>
      </c>
      <c r="O28" s="13">
        <v>0.76200000000000001</v>
      </c>
      <c r="P28" s="13">
        <v>0</v>
      </c>
      <c r="Q28" s="13">
        <v>1.079</v>
      </c>
      <c r="R28" s="13">
        <v>0</v>
      </c>
      <c r="S28" s="13">
        <v>0.39200000000000002</v>
      </c>
      <c r="T28" s="13">
        <v>0.82599999999999996</v>
      </c>
      <c r="U28" s="13">
        <v>2.0289999999999999</v>
      </c>
      <c r="V28" s="13">
        <v>1.788</v>
      </c>
      <c r="W28" s="13">
        <v>2.8969999999999998</v>
      </c>
      <c r="X28" s="13">
        <v>0.378</v>
      </c>
      <c r="Y28" s="13">
        <v>0.59299999999999997</v>
      </c>
      <c r="Z28" s="13">
        <v>4.3680000000000003</v>
      </c>
      <c r="AA28" s="13">
        <v>0</v>
      </c>
      <c r="AB28" s="13">
        <v>10.614000000000001</v>
      </c>
      <c r="AC28" s="13">
        <v>0.39600000000000002</v>
      </c>
      <c r="AD28" s="13">
        <v>8.0530000000000008</v>
      </c>
      <c r="AE28" s="13">
        <v>12.244999999999999</v>
      </c>
      <c r="AF28" s="13">
        <v>0</v>
      </c>
      <c r="AG28" s="13">
        <v>0.69699999999999995</v>
      </c>
      <c r="AH28" s="13">
        <v>0</v>
      </c>
      <c r="AI28" s="13">
        <v>6.0650000000000004</v>
      </c>
      <c r="AJ28" s="13">
        <v>2.734</v>
      </c>
      <c r="AK28" s="13">
        <v>0</v>
      </c>
      <c r="AL28" s="13">
        <v>0</v>
      </c>
      <c r="AM28" s="13">
        <v>11.962</v>
      </c>
      <c r="AN28" s="13">
        <v>1.446</v>
      </c>
      <c r="AO28" s="13">
        <v>0</v>
      </c>
      <c r="AP28" s="13">
        <v>0</v>
      </c>
      <c r="AQ28" s="13">
        <v>21.518999999999998</v>
      </c>
      <c r="AR28" s="10">
        <v>0</v>
      </c>
      <c r="AS28" s="10">
        <v>16.052</v>
      </c>
      <c r="AT28" s="10">
        <v>6.2679999999999998</v>
      </c>
      <c r="AU28" s="10">
        <v>6.7539999999999996</v>
      </c>
      <c r="AV28" s="10">
        <v>6.431</v>
      </c>
      <c r="AW28" s="10">
        <v>4.8680000000000003</v>
      </c>
      <c r="AX28" s="10">
        <v>0</v>
      </c>
      <c r="AY28" s="10">
        <v>2.073</v>
      </c>
      <c r="AZ28" s="10">
        <v>2.9809999999999999</v>
      </c>
      <c r="BA28" s="13">
        <v>0.58399999999999996</v>
      </c>
      <c r="BB28" s="13">
        <v>1.238</v>
      </c>
      <c r="BC28" s="13">
        <v>0</v>
      </c>
      <c r="BD28" s="13">
        <v>0.28899999999999998</v>
      </c>
      <c r="BE28" s="13">
        <v>0.39700000000000002</v>
      </c>
      <c r="BF28" s="13">
        <v>1.67</v>
      </c>
      <c r="BG28" s="13">
        <v>3.8260000000000001</v>
      </c>
      <c r="BH28" s="13">
        <v>2.4580000000000002</v>
      </c>
      <c r="BI28" s="10">
        <v>4.5810000000000004</v>
      </c>
      <c r="BJ28" s="10">
        <v>0</v>
      </c>
      <c r="BK28" s="10">
        <v>8.6229999999999993</v>
      </c>
      <c r="BL28" s="13">
        <v>5.8</v>
      </c>
      <c r="BM28" s="13">
        <v>22.282</v>
      </c>
      <c r="BN28" s="13">
        <v>0</v>
      </c>
      <c r="BO28" s="13">
        <v>0</v>
      </c>
      <c r="BP28" s="13">
        <v>27.815000000000001</v>
      </c>
      <c r="BQ28" s="13">
        <v>35.031999999999996</v>
      </c>
      <c r="BR28" s="10">
        <v>0</v>
      </c>
      <c r="BS28" s="10">
        <v>3.9340000000000002</v>
      </c>
      <c r="BT28" s="10">
        <v>0</v>
      </c>
      <c r="BU28" s="10">
        <v>4.431</v>
      </c>
      <c r="BV28" s="10">
        <v>5.7480000000000002</v>
      </c>
      <c r="BW28" s="10">
        <v>1.0249999999999999</v>
      </c>
      <c r="BX28" s="13">
        <v>0</v>
      </c>
      <c r="BY28" s="13">
        <v>0.16900000000000001</v>
      </c>
      <c r="BZ28" s="13">
        <v>33.948999999999998</v>
      </c>
      <c r="CA28" s="13">
        <v>0</v>
      </c>
      <c r="CB28" s="13">
        <v>7.2770000000000001</v>
      </c>
      <c r="CC28" s="13">
        <v>20.247</v>
      </c>
      <c r="CD28" s="13">
        <v>20.949000000000002</v>
      </c>
      <c r="CE28" s="13">
        <v>0</v>
      </c>
      <c r="CF28" s="13">
        <v>10.403</v>
      </c>
      <c r="CG28" s="13">
        <v>5.0439999999999996</v>
      </c>
      <c r="CH28" s="13">
        <v>2.718</v>
      </c>
      <c r="CI28" s="13">
        <v>0</v>
      </c>
      <c r="CJ28" s="13">
        <v>0.125</v>
      </c>
      <c r="CK28" s="13">
        <v>0</v>
      </c>
      <c r="CL28" s="13">
        <v>0</v>
      </c>
      <c r="CM28" s="13">
        <v>4.399</v>
      </c>
      <c r="CN28" s="13">
        <v>3.9409999999999998</v>
      </c>
      <c r="CO28" s="13">
        <v>0</v>
      </c>
      <c r="CP28" s="13">
        <v>6.0279999999999996</v>
      </c>
      <c r="CQ28" s="13">
        <v>0</v>
      </c>
      <c r="CR28" s="13">
        <v>6.2320000000000002</v>
      </c>
      <c r="CS28" s="10">
        <v>0.32700000000000001</v>
      </c>
      <c r="CT28" s="10">
        <v>2.2050000000000001</v>
      </c>
      <c r="CU28" s="10">
        <v>0</v>
      </c>
      <c r="CV28" s="10">
        <v>1.9419999999999999</v>
      </c>
      <c r="CW28" s="10">
        <v>0</v>
      </c>
      <c r="CX28" s="10">
        <v>3.3839999999999999</v>
      </c>
      <c r="CY28" s="10">
        <v>0.378</v>
      </c>
      <c r="CZ28" s="10">
        <v>0.67400000000000004</v>
      </c>
    </row>
    <row r="29" spans="2:104" x14ac:dyDescent="0.25">
      <c r="B29" s="5" t="s">
        <v>110</v>
      </c>
      <c r="C29" s="10">
        <v>39.868000000000002</v>
      </c>
      <c r="D29" s="10">
        <v>4.9189999999999996</v>
      </c>
      <c r="E29" s="10">
        <v>1.228</v>
      </c>
      <c r="F29" s="10">
        <v>4.3639999999999999</v>
      </c>
      <c r="G29" s="10">
        <v>1.0549999999999999</v>
      </c>
      <c r="H29" s="10">
        <v>5.3780000000000001</v>
      </c>
      <c r="I29" s="10">
        <v>0</v>
      </c>
      <c r="J29" s="10">
        <v>9.2910000000000004</v>
      </c>
      <c r="K29" s="10">
        <v>25.635000000000002</v>
      </c>
      <c r="L29" s="10">
        <v>2.2210000000000001</v>
      </c>
      <c r="M29" s="13">
        <v>5.5359999999999996</v>
      </c>
      <c r="N29" s="13">
        <v>2.214</v>
      </c>
      <c r="O29" s="13">
        <v>0.27400000000000002</v>
      </c>
      <c r="P29" s="13">
        <v>7.0000000000000007E-2</v>
      </c>
      <c r="Q29" s="13">
        <v>0</v>
      </c>
      <c r="R29" s="13">
        <v>0</v>
      </c>
      <c r="S29" s="13">
        <v>0</v>
      </c>
      <c r="T29" s="13">
        <v>1.8879999999999999</v>
      </c>
      <c r="U29" s="13">
        <v>1.621</v>
      </c>
      <c r="V29" s="13">
        <v>1.788</v>
      </c>
      <c r="W29" s="13">
        <v>0.72399999999999998</v>
      </c>
      <c r="X29" s="13">
        <v>0</v>
      </c>
      <c r="Y29" s="13">
        <v>0.75900000000000001</v>
      </c>
      <c r="Z29" s="13">
        <v>2.6019999999999999</v>
      </c>
      <c r="AA29" s="13">
        <v>0</v>
      </c>
      <c r="AB29" s="13">
        <v>3.7839999999999998</v>
      </c>
      <c r="AC29" s="13">
        <v>0</v>
      </c>
      <c r="AD29" s="13">
        <v>0</v>
      </c>
      <c r="AE29" s="13">
        <v>8.1720000000000006</v>
      </c>
      <c r="AF29" s="13">
        <v>9.44</v>
      </c>
      <c r="AG29" s="13">
        <v>0.52800000000000002</v>
      </c>
      <c r="AH29" s="13">
        <v>1.0089999999999999</v>
      </c>
      <c r="AI29" s="13">
        <v>4.7510000000000003</v>
      </c>
      <c r="AJ29" s="13">
        <v>1.387</v>
      </c>
      <c r="AK29" s="13">
        <v>0</v>
      </c>
      <c r="AL29" s="13">
        <v>0</v>
      </c>
      <c r="AM29" s="13">
        <v>0</v>
      </c>
      <c r="AN29" s="13">
        <v>11.367000000000001</v>
      </c>
      <c r="AO29" s="13">
        <v>0</v>
      </c>
      <c r="AP29" s="13">
        <v>26.016999999999999</v>
      </c>
      <c r="AQ29" s="13">
        <v>30.631</v>
      </c>
      <c r="AR29" s="10">
        <v>5.7610000000000001</v>
      </c>
      <c r="AS29" s="10">
        <v>2.3530000000000002</v>
      </c>
      <c r="AT29" s="10">
        <v>9.4019999999999992</v>
      </c>
      <c r="AU29" s="10">
        <v>0</v>
      </c>
      <c r="AV29" s="10">
        <v>10.712999999999999</v>
      </c>
      <c r="AW29" s="10">
        <v>4.4029999999999996</v>
      </c>
      <c r="AX29" s="10">
        <v>0.314</v>
      </c>
      <c r="AY29" s="10">
        <v>0</v>
      </c>
      <c r="AZ29" s="10">
        <v>8.4909999999999997</v>
      </c>
      <c r="BA29" s="13">
        <v>0.58399999999999996</v>
      </c>
      <c r="BB29" s="13">
        <v>0</v>
      </c>
      <c r="BC29" s="13">
        <v>1.7</v>
      </c>
      <c r="BD29" s="13">
        <v>0.57899999999999996</v>
      </c>
      <c r="BE29" s="13">
        <v>0</v>
      </c>
      <c r="BF29" s="13">
        <v>3.34</v>
      </c>
      <c r="BG29" s="13">
        <v>1.706</v>
      </c>
      <c r="BH29" s="13">
        <v>2.1509999999999998</v>
      </c>
      <c r="BI29" s="10">
        <v>0</v>
      </c>
      <c r="BJ29" s="10">
        <v>0</v>
      </c>
      <c r="BK29" s="10">
        <v>2.2530000000000001</v>
      </c>
      <c r="BL29" s="13">
        <v>5.8</v>
      </c>
      <c r="BM29" s="13">
        <v>0</v>
      </c>
      <c r="BN29" s="13">
        <v>0</v>
      </c>
      <c r="BO29" s="13">
        <v>16.241</v>
      </c>
      <c r="BP29" s="13">
        <v>0</v>
      </c>
      <c r="BQ29" s="13">
        <v>17.515999999999998</v>
      </c>
      <c r="BR29" s="10">
        <v>0.22900000000000001</v>
      </c>
      <c r="BS29" s="10">
        <v>1.635</v>
      </c>
      <c r="BT29" s="10">
        <v>6.24</v>
      </c>
      <c r="BU29" s="10">
        <v>5.0629999999999997</v>
      </c>
      <c r="BV29" s="10">
        <v>3.8319999999999999</v>
      </c>
      <c r="BW29" s="10">
        <v>0</v>
      </c>
      <c r="BX29" s="13">
        <v>0</v>
      </c>
      <c r="BY29" s="13">
        <v>0.89700000000000002</v>
      </c>
      <c r="BZ29" s="13">
        <v>0</v>
      </c>
      <c r="CA29" s="13">
        <v>16.347999999999999</v>
      </c>
      <c r="CB29" s="13">
        <v>8.0640000000000001</v>
      </c>
      <c r="CC29" s="13">
        <v>33.295999999999999</v>
      </c>
      <c r="CD29" s="13">
        <v>19.946999999999999</v>
      </c>
      <c r="CE29" s="13">
        <v>19.952000000000002</v>
      </c>
      <c r="CF29" s="13">
        <v>0</v>
      </c>
      <c r="CG29" s="13">
        <v>42.948</v>
      </c>
      <c r="CH29" s="13">
        <v>2.7349999999999999</v>
      </c>
      <c r="CI29" s="13">
        <v>3.0049999999999999</v>
      </c>
      <c r="CJ29" s="13">
        <v>0.125</v>
      </c>
      <c r="CK29" s="13">
        <v>0</v>
      </c>
      <c r="CL29" s="13">
        <v>7.0970000000000004</v>
      </c>
      <c r="CM29" s="13">
        <v>3.8490000000000002</v>
      </c>
      <c r="CN29" s="13">
        <v>0</v>
      </c>
      <c r="CO29" s="13">
        <v>9.4510000000000005</v>
      </c>
      <c r="CP29" s="13">
        <v>1.8080000000000001</v>
      </c>
      <c r="CQ29" s="13">
        <v>8.109</v>
      </c>
      <c r="CR29" s="13">
        <v>0</v>
      </c>
      <c r="CS29" s="10">
        <v>0</v>
      </c>
      <c r="CT29" s="10">
        <v>0</v>
      </c>
      <c r="CU29" s="10">
        <v>6.266</v>
      </c>
      <c r="CV29" s="10">
        <v>1.2949999999999999</v>
      </c>
      <c r="CW29" s="10">
        <v>0</v>
      </c>
      <c r="CX29" s="10">
        <v>13.535</v>
      </c>
      <c r="CY29" s="10">
        <v>0</v>
      </c>
      <c r="CZ29" s="10">
        <v>0</v>
      </c>
    </row>
    <row r="30" spans="2:104" x14ac:dyDescent="0.25">
      <c r="B30" s="5" t="s">
        <v>109</v>
      </c>
      <c r="C30" s="10">
        <v>57.536999999999999</v>
      </c>
      <c r="D30" s="10">
        <v>0</v>
      </c>
      <c r="E30" s="10">
        <v>0.61399999999999999</v>
      </c>
      <c r="F30" s="10">
        <v>0</v>
      </c>
      <c r="G30" s="10">
        <v>0</v>
      </c>
      <c r="H30" s="10">
        <v>0</v>
      </c>
      <c r="I30" s="10">
        <v>0</v>
      </c>
      <c r="J30" s="10">
        <v>27.873999999999999</v>
      </c>
      <c r="K30" s="10">
        <v>0</v>
      </c>
      <c r="L30" s="10">
        <v>0</v>
      </c>
      <c r="M30" s="13">
        <v>2.214</v>
      </c>
      <c r="N30" s="13">
        <v>3.1429999999999998</v>
      </c>
      <c r="O30" s="13">
        <v>1.643</v>
      </c>
      <c r="P30" s="13">
        <v>0.14000000000000001</v>
      </c>
      <c r="Q30" s="13">
        <v>4.3159999999999998</v>
      </c>
      <c r="R30" s="13">
        <v>0.313</v>
      </c>
      <c r="S30" s="13">
        <v>0</v>
      </c>
      <c r="T30" s="13">
        <v>0.82599999999999996</v>
      </c>
      <c r="U30" s="13">
        <v>3.2410000000000001</v>
      </c>
      <c r="V30" s="13">
        <v>0</v>
      </c>
      <c r="W30" s="13">
        <v>2.173</v>
      </c>
      <c r="X30" s="13">
        <v>0</v>
      </c>
      <c r="Y30" s="13">
        <v>0.38</v>
      </c>
      <c r="Z30" s="13">
        <v>2.6019999999999999</v>
      </c>
      <c r="AA30" s="13">
        <v>1.2030000000000001</v>
      </c>
      <c r="AB30" s="13">
        <v>9.2780000000000005</v>
      </c>
      <c r="AC30" s="13">
        <v>0.39600000000000002</v>
      </c>
      <c r="AD30" s="13">
        <v>10.933999999999999</v>
      </c>
      <c r="AE30" s="13">
        <v>0</v>
      </c>
      <c r="AF30" s="13">
        <v>0</v>
      </c>
      <c r="AG30" s="13">
        <v>3.5459999999999998</v>
      </c>
      <c r="AH30" s="13">
        <v>0.33600000000000002</v>
      </c>
      <c r="AI30" s="13">
        <v>3.1669999999999998</v>
      </c>
      <c r="AJ30" s="13">
        <v>5.6760000000000002</v>
      </c>
      <c r="AK30" s="13">
        <v>0</v>
      </c>
      <c r="AL30" s="13">
        <v>0</v>
      </c>
      <c r="AM30" s="13">
        <v>3.9870000000000001</v>
      </c>
      <c r="AN30" s="13">
        <v>0</v>
      </c>
      <c r="AO30" s="13">
        <v>2.84</v>
      </c>
      <c r="AP30" s="13">
        <v>5.8949999999999996</v>
      </c>
      <c r="AQ30" s="13">
        <v>10.210000000000001</v>
      </c>
      <c r="AR30" s="10">
        <v>29.978999999999999</v>
      </c>
      <c r="AS30" s="10">
        <v>4.3470000000000004</v>
      </c>
      <c r="AT30" s="10">
        <v>9.4019999999999992</v>
      </c>
      <c r="AU30" s="10">
        <v>0</v>
      </c>
      <c r="AV30" s="10">
        <v>0</v>
      </c>
      <c r="AW30" s="10">
        <v>1.9259999999999999</v>
      </c>
      <c r="AX30" s="10">
        <v>0.39800000000000002</v>
      </c>
      <c r="AY30" s="10">
        <v>2.073</v>
      </c>
      <c r="AZ30" s="10">
        <v>0</v>
      </c>
      <c r="BA30" s="13">
        <v>0.4</v>
      </c>
      <c r="BB30" s="13">
        <v>0</v>
      </c>
      <c r="BC30" s="13">
        <v>0</v>
      </c>
      <c r="BD30" s="13">
        <v>0</v>
      </c>
      <c r="BE30" s="13">
        <v>1.1919999999999999</v>
      </c>
      <c r="BF30" s="13">
        <v>0</v>
      </c>
      <c r="BG30" s="13">
        <v>1.706</v>
      </c>
      <c r="BH30" s="13">
        <v>4.3010000000000002</v>
      </c>
      <c r="BI30" s="10">
        <v>0.48799999999999999</v>
      </c>
      <c r="BJ30" s="10">
        <v>0</v>
      </c>
      <c r="BK30" s="10">
        <v>0</v>
      </c>
      <c r="BL30" s="13">
        <v>0</v>
      </c>
      <c r="BM30" s="13">
        <v>1.841</v>
      </c>
      <c r="BN30" s="13">
        <v>0</v>
      </c>
      <c r="BO30" s="13">
        <v>18.786999999999999</v>
      </c>
      <c r="BP30" s="13">
        <v>5.6390000000000002</v>
      </c>
      <c r="BQ30" s="13">
        <v>17.515999999999998</v>
      </c>
      <c r="BR30" s="10">
        <v>1.4219999999999999</v>
      </c>
      <c r="BS30" s="10">
        <v>1.635</v>
      </c>
      <c r="BT30" s="10">
        <v>2.08</v>
      </c>
      <c r="BU30" s="10">
        <v>0</v>
      </c>
      <c r="BV30" s="10">
        <v>0</v>
      </c>
      <c r="BW30" s="10">
        <v>2.0499999999999998</v>
      </c>
      <c r="BX30" s="13">
        <v>0</v>
      </c>
      <c r="BY30" s="13">
        <v>0.215</v>
      </c>
      <c r="BZ30" s="13">
        <v>0</v>
      </c>
      <c r="CA30" s="13">
        <v>8.1739999999999995</v>
      </c>
      <c r="CB30" s="13">
        <v>0</v>
      </c>
      <c r="CC30" s="13">
        <v>0</v>
      </c>
      <c r="CD30" s="13">
        <v>0.80100000000000005</v>
      </c>
      <c r="CE30" s="13">
        <v>19.504000000000001</v>
      </c>
      <c r="CF30" s="13">
        <v>17.457000000000001</v>
      </c>
      <c r="CG30" s="13">
        <v>14.766</v>
      </c>
      <c r="CH30" s="13">
        <v>1.014</v>
      </c>
      <c r="CI30" s="13">
        <v>0</v>
      </c>
      <c r="CJ30" s="13">
        <v>3.2010000000000001</v>
      </c>
      <c r="CK30" s="13">
        <v>4.1139999999999999</v>
      </c>
      <c r="CL30" s="13">
        <v>3.548</v>
      </c>
      <c r="CM30" s="13">
        <v>7.6980000000000004</v>
      </c>
      <c r="CN30" s="13">
        <v>8.9350000000000005</v>
      </c>
      <c r="CO30" s="13">
        <v>0</v>
      </c>
      <c r="CP30" s="13">
        <v>3.6160000000000001</v>
      </c>
      <c r="CQ30" s="13">
        <v>2.9780000000000002</v>
      </c>
      <c r="CR30" s="13">
        <v>0</v>
      </c>
      <c r="CS30" s="10">
        <v>2.319</v>
      </c>
      <c r="CT30" s="10">
        <v>2.2669999999999999</v>
      </c>
      <c r="CU30" s="10">
        <v>2.4089999999999998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</row>
    <row r="31" spans="2:104" x14ac:dyDescent="0.25">
      <c r="B31" s="5" t="s">
        <v>108</v>
      </c>
      <c r="C31" s="10">
        <v>23.033000000000001</v>
      </c>
      <c r="D31" s="10">
        <v>8.1850000000000005</v>
      </c>
      <c r="E31" s="10">
        <v>0</v>
      </c>
      <c r="F31" s="10">
        <v>3.5209999999999999</v>
      </c>
      <c r="G31" s="10">
        <v>0</v>
      </c>
      <c r="H31" s="10">
        <v>0</v>
      </c>
      <c r="I31" s="10">
        <v>0</v>
      </c>
      <c r="J31" s="10">
        <v>1.123</v>
      </c>
      <c r="K31" s="10">
        <v>0.82</v>
      </c>
      <c r="L31" s="10">
        <v>49.478000000000002</v>
      </c>
      <c r="M31" s="13">
        <v>3.1429999999999998</v>
      </c>
      <c r="N31" s="13">
        <v>0.68</v>
      </c>
      <c r="O31" s="13">
        <v>0.27400000000000002</v>
      </c>
      <c r="P31" s="13">
        <v>0</v>
      </c>
      <c r="Q31" s="13">
        <v>2.1579999999999999</v>
      </c>
      <c r="R31" s="13">
        <v>0</v>
      </c>
      <c r="S31" s="13">
        <v>0.43</v>
      </c>
      <c r="T31" s="13">
        <v>0</v>
      </c>
      <c r="U31" s="13">
        <v>1.621</v>
      </c>
      <c r="V31" s="13">
        <v>2.8519999999999999</v>
      </c>
      <c r="W31" s="13">
        <v>0</v>
      </c>
      <c r="X31" s="13">
        <v>2.73</v>
      </c>
      <c r="Y31" s="13">
        <v>0.75900000000000001</v>
      </c>
      <c r="Z31" s="13">
        <v>0</v>
      </c>
      <c r="AA31" s="13">
        <v>5.2149999999999999</v>
      </c>
      <c r="AB31" s="13">
        <v>0</v>
      </c>
      <c r="AC31" s="13">
        <v>0</v>
      </c>
      <c r="AD31" s="13">
        <v>19.989000000000001</v>
      </c>
      <c r="AE31" s="13">
        <v>0</v>
      </c>
      <c r="AF31" s="13">
        <v>0</v>
      </c>
      <c r="AG31" s="13">
        <v>10.98</v>
      </c>
      <c r="AH31" s="13">
        <v>1.3460000000000001</v>
      </c>
      <c r="AI31" s="13">
        <v>0</v>
      </c>
      <c r="AJ31" s="13">
        <v>1.7529999999999999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3.6230000000000002</v>
      </c>
      <c r="AQ31" s="13">
        <v>9.8209999999999997</v>
      </c>
      <c r="AR31" s="10">
        <v>2.343</v>
      </c>
      <c r="AS31" s="10">
        <v>15.481</v>
      </c>
      <c r="AT31" s="10">
        <v>6.2679999999999998</v>
      </c>
      <c r="AU31" s="10">
        <v>0</v>
      </c>
      <c r="AV31" s="10">
        <v>0</v>
      </c>
      <c r="AW31" s="10">
        <v>1.9259999999999999</v>
      </c>
      <c r="AX31" s="10">
        <v>0.25900000000000001</v>
      </c>
      <c r="AY31" s="10">
        <v>2.073</v>
      </c>
      <c r="AZ31" s="10">
        <v>8.4909999999999997</v>
      </c>
      <c r="BA31" s="13">
        <v>0.627</v>
      </c>
      <c r="BB31" s="13">
        <v>0</v>
      </c>
      <c r="BC31" s="13">
        <v>0</v>
      </c>
      <c r="BD31" s="13">
        <v>0</v>
      </c>
      <c r="BE31" s="13">
        <v>0.79500000000000004</v>
      </c>
      <c r="BF31" s="13">
        <v>0</v>
      </c>
      <c r="BG31" s="13">
        <v>0</v>
      </c>
      <c r="BH31" s="13">
        <v>0</v>
      </c>
      <c r="BI31" s="10">
        <v>6.6669999999999998</v>
      </c>
      <c r="BJ31" s="10">
        <v>0</v>
      </c>
      <c r="BK31" s="10">
        <v>0</v>
      </c>
      <c r="BL31" s="13">
        <v>4.5720000000000001</v>
      </c>
      <c r="BM31" s="13">
        <v>0</v>
      </c>
      <c r="BN31" s="13">
        <v>50.558999999999997</v>
      </c>
      <c r="BO31" s="13">
        <v>0</v>
      </c>
      <c r="BP31" s="13">
        <v>5.6390000000000002</v>
      </c>
      <c r="BQ31" s="13">
        <v>0</v>
      </c>
      <c r="BR31" s="10">
        <v>0.186</v>
      </c>
      <c r="BS31" s="10">
        <v>1.635</v>
      </c>
      <c r="BT31" s="10">
        <v>2.08</v>
      </c>
      <c r="BU31" s="10">
        <v>2.74</v>
      </c>
      <c r="BV31" s="10">
        <v>0</v>
      </c>
      <c r="BW31" s="10">
        <v>2.5710000000000002</v>
      </c>
      <c r="BX31" s="13">
        <v>0</v>
      </c>
      <c r="BY31" s="13">
        <v>0.24099999999999999</v>
      </c>
      <c r="BZ31" s="13">
        <v>0</v>
      </c>
      <c r="CA31" s="13">
        <v>9.0129999999999999</v>
      </c>
      <c r="CB31" s="13">
        <v>13.896000000000001</v>
      </c>
      <c r="CC31" s="13">
        <v>0</v>
      </c>
      <c r="CD31" s="13">
        <v>61.863999999999997</v>
      </c>
      <c r="CE31" s="13">
        <v>35.729999999999997</v>
      </c>
      <c r="CF31" s="13">
        <v>11.632999999999999</v>
      </c>
      <c r="CG31" s="13">
        <v>16.870999999999999</v>
      </c>
      <c r="CH31" s="13">
        <v>0</v>
      </c>
      <c r="CI31" s="13">
        <v>2.508</v>
      </c>
      <c r="CJ31" s="13">
        <v>0.88900000000000001</v>
      </c>
      <c r="CK31" s="13">
        <v>0</v>
      </c>
      <c r="CL31" s="13">
        <v>3.6240000000000001</v>
      </c>
      <c r="CM31" s="13">
        <v>0</v>
      </c>
      <c r="CN31" s="13">
        <v>2.5750000000000002</v>
      </c>
      <c r="CO31" s="13">
        <v>13.12</v>
      </c>
      <c r="CP31" s="13">
        <v>3.6160000000000001</v>
      </c>
      <c r="CQ31" s="13">
        <v>0</v>
      </c>
      <c r="CR31" s="13">
        <v>4.2480000000000002</v>
      </c>
      <c r="CS31" s="10">
        <v>4.9569999999999999</v>
      </c>
      <c r="CT31" s="10">
        <v>0</v>
      </c>
      <c r="CU31" s="10">
        <v>0</v>
      </c>
      <c r="CV31" s="10">
        <v>1.2949999999999999</v>
      </c>
      <c r="CW31" s="10">
        <v>0</v>
      </c>
      <c r="CX31" s="10">
        <v>12.253</v>
      </c>
      <c r="CY31" s="10">
        <v>0</v>
      </c>
      <c r="CZ31" s="10">
        <v>1.2130000000000001</v>
      </c>
    </row>
    <row r="32" spans="2:104" x14ac:dyDescent="0.25">
      <c r="B32" s="5" t="s">
        <v>107</v>
      </c>
      <c r="C32" s="10">
        <v>48.317</v>
      </c>
      <c r="D32" s="10">
        <v>2.4460000000000002</v>
      </c>
      <c r="E32" s="10">
        <v>0</v>
      </c>
      <c r="F32" s="10">
        <v>10.564</v>
      </c>
      <c r="G32" s="10">
        <v>0</v>
      </c>
      <c r="H32" s="10">
        <v>0</v>
      </c>
      <c r="I32" s="10">
        <v>7.7350000000000003</v>
      </c>
      <c r="J32" s="10">
        <v>30.940999999999999</v>
      </c>
      <c r="K32" s="10">
        <v>4.2999999999999997E-2</v>
      </c>
      <c r="L32" s="10">
        <v>2.2210000000000001</v>
      </c>
      <c r="M32" s="13">
        <v>0.68</v>
      </c>
      <c r="N32" s="13">
        <v>2.391</v>
      </c>
      <c r="O32" s="13">
        <v>0.54800000000000004</v>
      </c>
      <c r="P32" s="13">
        <v>0.24299999999999999</v>
      </c>
      <c r="Q32" s="13">
        <v>3.1960000000000002</v>
      </c>
      <c r="R32" s="13">
        <v>1.978</v>
      </c>
      <c r="S32" s="13">
        <v>0</v>
      </c>
      <c r="T32" s="13">
        <v>0</v>
      </c>
      <c r="U32" s="13">
        <v>3.968</v>
      </c>
      <c r="V32" s="13">
        <v>0.95099999999999996</v>
      </c>
      <c r="W32" s="13">
        <v>0.90500000000000003</v>
      </c>
      <c r="X32" s="13">
        <v>1.365</v>
      </c>
      <c r="Y32" s="13">
        <v>1.8979999999999999</v>
      </c>
      <c r="Z32" s="13">
        <v>8.2349999999999994</v>
      </c>
      <c r="AA32" s="13">
        <v>7.8449999999999998</v>
      </c>
      <c r="AB32" s="13">
        <v>9.2999999999999999E-2</v>
      </c>
      <c r="AC32" s="13">
        <v>0</v>
      </c>
      <c r="AD32" s="13">
        <v>10.936</v>
      </c>
      <c r="AE32" s="13">
        <v>18.754999999999999</v>
      </c>
      <c r="AF32" s="13">
        <v>6.234</v>
      </c>
      <c r="AG32" s="13">
        <v>4.5460000000000003</v>
      </c>
      <c r="AH32" s="13">
        <v>0.81699999999999995</v>
      </c>
      <c r="AI32" s="13">
        <v>1.5840000000000001</v>
      </c>
      <c r="AJ32" s="13">
        <v>1.0629999999999999</v>
      </c>
      <c r="AK32" s="13">
        <v>0.53400000000000003</v>
      </c>
      <c r="AL32" s="13">
        <v>0</v>
      </c>
      <c r="AM32" s="13">
        <v>31.367000000000001</v>
      </c>
      <c r="AN32" s="13">
        <v>0</v>
      </c>
      <c r="AO32" s="13">
        <v>0</v>
      </c>
      <c r="AP32" s="13">
        <v>0</v>
      </c>
      <c r="AQ32" s="13">
        <v>17.937000000000001</v>
      </c>
      <c r="AR32" s="10">
        <v>0</v>
      </c>
      <c r="AS32" s="10">
        <v>7.7409999999999997</v>
      </c>
      <c r="AT32" s="10">
        <v>9.4019999999999992</v>
      </c>
      <c r="AU32" s="10">
        <v>0</v>
      </c>
      <c r="AV32" s="10">
        <v>5.4130000000000003</v>
      </c>
      <c r="AW32" s="10">
        <v>1.9259999999999999</v>
      </c>
      <c r="AX32" s="10">
        <v>8.8999999999999996E-2</v>
      </c>
      <c r="AY32" s="10">
        <v>3.4140000000000001</v>
      </c>
      <c r="AZ32" s="10">
        <v>16.981000000000002</v>
      </c>
      <c r="BA32" s="13">
        <v>0.314</v>
      </c>
      <c r="BB32" s="13">
        <v>0</v>
      </c>
      <c r="BC32" s="13">
        <v>0</v>
      </c>
      <c r="BD32" s="13">
        <v>0.17399999999999999</v>
      </c>
      <c r="BE32" s="13">
        <v>0.89700000000000002</v>
      </c>
      <c r="BF32" s="13">
        <v>0</v>
      </c>
      <c r="BG32" s="13">
        <v>3.411</v>
      </c>
      <c r="BH32" s="13">
        <v>0</v>
      </c>
      <c r="BI32" s="10">
        <v>1.637</v>
      </c>
      <c r="BJ32" s="10">
        <v>2.754</v>
      </c>
      <c r="BK32" s="10">
        <v>2.5960000000000001</v>
      </c>
      <c r="BL32" s="13">
        <v>0</v>
      </c>
      <c r="BM32" s="13">
        <v>9.798</v>
      </c>
      <c r="BN32" s="13">
        <v>0</v>
      </c>
      <c r="BO32" s="13">
        <v>0</v>
      </c>
      <c r="BP32" s="13">
        <v>41.709000000000003</v>
      </c>
      <c r="BQ32" s="13">
        <v>47.143000000000001</v>
      </c>
      <c r="BR32" s="10">
        <v>0.22800000000000001</v>
      </c>
      <c r="BS32" s="10">
        <v>4.9039999999999999</v>
      </c>
      <c r="BT32" s="10">
        <v>3.9340000000000002</v>
      </c>
      <c r="BU32" s="10">
        <v>5.48</v>
      </c>
      <c r="BV32" s="10">
        <v>2.6179999999999999</v>
      </c>
      <c r="BW32" s="10">
        <v>3.5960000000000001</v>
      </c>
      <c r="BX32" s="13">
        <v>0</v>
      </c>
      <c r="BY32" s="13">
        <v>0</v>
      </c>
      <c r="BZ32" s="13">
        <v>0</v>
      </c>
      <c r="CA32" s="13">
        <v>19.565999999999999</v>
      </c>
      <c r="CB32" s="13">
        <v>8.2059999999999995</v>
      </c>
      <c r="CC32" s="13">
        <v>0</v>
      </c>
      <c r="CD32" s="13">
        <v>25.648</v>
      </c>
      <c r="CE32" s="13">
        <v>11.465999999999999</v>
      </c>
      <c r="CF32" s="13">
        <v>6.6269999999999998</v>
      </c>
      <c r="CG32" s="13">
        <v>22.199000000000002</v>
      </c>
      <c r="CH32" s="13">
        <v>0</v>
      </c>
      <c r="CI32" s="13">
        <v>1.254</v>
      </c>
      <c r="CJ32" s="13">
        <v>0</v>
      </c>
      <c r="CK32" s="13">
        <v>16.911000000000001</v>
      </c>
      <c r="CL32" s="13">
        <v>8.9190000000000005</v>
      </c>
      <c r="CM32" s="13">
        <v>0</v>
      </c>
      <c r="CN32" s="13">
        <v>2.5750000000000002</v>
      </c>
      <c r="CO32" s="13">
        <v>12.741</v>
      </c>
      <c r="CP32" s="13">
        <v>5.4240000000000004</v>
      </c>
      <c r="CQ32" s="13">
        <v>0</v>
      </c>
      <c r="CR32" s="13">
        <v>17.097999999999999</v>
      </c>
      <c r="CS32" s="10">
        <v>0.83299999999999996</v>
      </c>
      <c r="CT32" s="10">
        <v>1.3080000000000001</v>
      </c>
      <c r="CU32" s="10">
        <v>8.2319999999999993</v>
      </c>
      <c r="CV32" s="10">
        <v>0.34399999999999997</v>
      </c>
      <c r="CW32" s="10">
        <v>0</v>
      </c>
      <c r="CX32" s="10">
        <v>0</v>
      </c>
      <c r="CY32" s="10">
        <v>1.454</v>
      </c>
      <c r="CZ32" s="10">
        <v>1.2130000000000001</v>
      </c>
    </row>
    <row r="33" spans="2:104" x14ac:dyDescent="0.25">
      <c r="B33" s="5" t="s">
        <v>106</v>
      </c>
      <c r="C33" s="10">
        <v>48.317</v>
      </c>
      <c r="D33" s="10">
        <v>0</v>
      </c>
      <c r="E33" s="10">
        <v>0.61399999999999999</v>
      </c>
      <c r="F33" s="10">
        <v>0</v>
      </c>
      <c r="G33" s="10">
        <v>0</v>
      </c>
      <c r="H33" s="10">
        <v>0</v>
      </c>
      <c r="I33" s="10">
        <v>32.222999999999999</v>
      </c>
      <c r="J33" s="10">
        <v>0</v>
      </c>
      <c r="K33" s="10">
        <v>21.847999999999999</v>
      </c>
      <c r="L33" s="10">
        <v>2.3140000000000001</v>
      </c>
      <c r="M33" s="13">
        <v>2.391</v>
      </c>
      <c r="N33" s="13">
        <v>0</v>
      </c>
      <c r="O33" s="13">
        <v>0.54800000000000004</v>
      </c>
      <c r="P33" s="13">
        <v>0.122</v>
      </c>
      <c r="Q33" s="13">
        <v>0</v>
      </c>
      <c r="R33" s="13">
        <v>0.98899999999999999</v>
      </c>
      <c r="S33" s="13">
        <v>0</v>
      </c>
      <c r="T33" s="13">
        <v>1.595</v>
      </c>
      <c r="U33" s="13">
        <v>1.5189999999999999</v>
      </c>
      <c r="V33" s="13">
        <v>0</v>
      </c>
      <c r="W33" s="13">
        <v>0</v>
      </c>
      <c r="X33" s="13">
        <v>0</v>
      </c>
      <c r="Y33" s="13">
        <v>0.75900000000000001</v>
      </c>
      <c r="Z33" s="13">
        <v>2.6019999999999999</v>
      </c>
      <c r="AA33" s="13">
        <v>11.083</v>
      </c>
      <c r="AB33" s="13">
        <v>6.9580000000000002</v>
      </c>
      <c r="AC33" s="13">
        <v>0</v>
      </c>
      <c r="AD33" s="13">
        <v>0</v>
      </c>
      <c r="AE33" s="13">
        <v>7.7759999999999998</v>
      </c>
      <c r="AF33" s="13">
        <v>0</v>
      </c>
      <c r="AG33" s="13">
        <v>4.6420000000000003</v>
      </c>
      <c r="AH33" s="13">
        <v>0</v>
      </c>
      <c r="AI33" s="13">
        <v>1.5840000000000001</v>
      </c>
      <c r="AJ33" s="13">
        <v>1.7529999999999999</v>
      </c>
      <c r="AK33" s="13">
        <v>0</v>
      </c>
      <c r="AL33" s="13">
        <v>0.53400000000000003</v>
      </c>
      <c r="AM33" s="13">
        <v>6.4770000000000003</v>
      </c>
      <c r="AN33" s="13">
        <v>0</v>
      </c>
      <c r="AO33" s="13">
        <v>0</v>
      </c>
      <c r="AP33" s="13">
        <v>7.2460000000000004</v>
      </c>
      <c r="AQ33" s="13">
        <v>0</v>
      </c>
      <c r="AR33" s="10">
        <v>10.874000000000001</v>
      </c>
      <c r="AS33" s="10">
        <v>25.731000000000002</v>
      </c>
      <c r="AT33" s="10">
        <v>3.5819999999999999</v>
      </c>
      <c r="AU33" s="10">
        <v>0</v>
      </c>
      <c r="AV33" s="10">
        <v>0</v>
      </c>
      <c r="AW33" s="10">
        <v>0</v>
      </c>
      <c r="AX33" s="10">
        <v>0.30099999999999999</v>
      </c>
      <c r="AY33" s="10">
        <v>0</v>
      </c>
      <c r="AZ33" s="10">
        <v>4.9749999999999996</v>
      </c>
      <c r="BA33" s="13">
        <v>0.19400000000000001</v>
      </c>
      <c r="BB33" s="13">
        <v>0</v>
      </c>
      <c r="BC33" s="13">
        <v>0</v>
      </c>
      <c r="BD33" s="13">
        <v>0.17399999999999999</v>
      </c>
      <c r="BE33" s="13">
        <v>0.89700000000000002</v>
      </c>
      <c r="BF33" s="13">
        <v>0</v>
      </c>
      <c r="BG33" s="13">
        <v>3.4350000000000001</v>
      </c>
      <c r="BH33" s="13">
        <v>2.5539999999999998</v>
      </c>
      <c r="BI33" s="10">
        <v>1.4890000000000001</v>
      </c>
      <c r="BJ33" s="10">
        <v>0.86499999999999999</v>
      </c>
      <c r="BK33" s="10">
        <v>3.1259999999999999</v>
      </c>
      <c r="BL33" s="13">
        <v>1.171</v>
      </c>
      <c r="BM33" s="13">
        <v>0</v>
      </c>
      <c r="BN33" s="13">
        <v>24.073</v>
      </c>
      <c r="BO33" s="13">
        <v>21.334</v>
      </c>
      <c r="BP33" s="13">
        <v>11.278</v>
      </c>
      <c r="BQ33" s="13">
        <v>0</v>
      </c>
      <c r="BR33" s="10">
        <v>0</v>
      </c>
      <c r="BS33" s="10">
        <v>4.9039999999999999</v>
      </c>
      <c r="BT33" s="10">
        <v>1.635</v>
      </c>
      <c r="BU33" s="10">
        <v>2.74</v>
      </c>
      <c r="BV33" s="10">
        <v>2.6179999999999999</v>
      </c>
      <c r="BW33" s="10">
        <v>3.3940000000000001</v>
      </c>
      <c r="BX33" s="13">
        <v>0.31</v>
      </c>
      <c r="BY33" s="13">
        <v>0.182</v>
      </c>
      <c r="BZ33" s="13">
        <v>0</v>
      </c>
      <c r="CA33" s="13">
        <v>0</v>
      </c>
      <c r="CB33" s="13">
        <v>17.663</v>
      </c>
      <c r="CC33" s="13">
        <v>0</v>
      </c>
      <c r="CD33" s="13">
        <v>2.7010000000000001</v>
      </c>
      <c r="CE33" s="13">
        <v>0.52500000000000002</v>
      </c>
      <c r="CF33" s="13">
        <v>6.524</v>
      </c>
      <c r="CG33" s="13">
        <v>23.544</v>
      </c>
      <c r="CH33" s="13">
        <v>0</v>
      </c>
      <c r="CI33" s="13">
        <v>1.907</v>
      </c>
      <c r="CJ33" s="13">
        <v>1.667</v>
      </c>
      <c r="CK33" s="13">
        <v>19.327000000000002</v>
      </c>
      <c r="CL33" s="13">
        <v>3.2040000000000002</v>
      </c>
      <c r="CM33" s="13">
        <v>4.6989999999999998</v>
      </c>
      <c r="CN33" s="13">
        <v>2.5750000000000002</v>
      </c>
      <c r="CO33" s="13">
        <v>12.741</v>
      </c>
      <c r="CP33" s="13">
        <v>5.4240000000000004</v>
      </c>
      <c r="CQ33" s="13">
        <v>7.8540000000000001</v>
      </c>
      <c r="CR33" s="13">
        <v>2.5880000000000001</v>
      </c>
      <c r="CS33" s="10">
        <v>0</v>
      </c>
      <c r="CT33" s="10">
        <v>0.876</v>
      </c>
      <c r="CU33" s="10">
        <v>1.768</v>
      </c>
      <c r="CV33" s="10">
        <v>1.0309999999999999</v>
      </c>
      <c r="CW33" s="10">
        <v>0</v>
      </c>
      <c r="CX33" s="10">
        <v>5.4960000000000004</v>
      </c>
      <c r="CY33" s="10">
        <v>0</v>
      </c>
      <c r="CZ33" s="10">
        <v>0</v>
      </c>
    </row>
    <row r="34" spans="2:104" x14ac:dyDescent="0.25">
      <c r="B34" s="5" t="s">
        <v>105</v>
      </c>
      <c r="C34" s="10">
        <v>17.623999999999999</v>
      </c>
      <c r="D34" s="10">
        <v>8.484</v>
      </c>
      <c r="E34" s="10">
        <v>1.228</v>
      </c>
      <c r="F34" s="10">
        <v>0</v>
      </c>
      <c r="G34" s="10">
        <v>1.204</v>
      </c>
      <c r="H34" s="10">
        <v>22.245000000000001</v>
      </c>
      <c r="I34" s="10">
        <v>0</v>
      </c>
      <c r="J34" s="10">
        <v>0</v>
      </c>
      <c r="K34" s="10">
        <v>2.5289999999999999</v>
      </c>
      <c r="L34" s="10">
        <v>0</v>
      </c>
      <c r="M34" s="13">
        <v>0</v>
      </c>
      <c r="N34" s="13">
        <v>0</v>
      </c>
      <c r="O34" s="13">
        <v>0.27500000000000002</v>
      </c>
      <c r="P34" s="13">
        <v>0.24299999999999999</v>
      </c>
      <c r="Q34" s="13">
        <v>4.2610000000000001</v>
      </c>
      <c r="R34" s="13">
        <v>0</v>
      </c>
      <c r="S34" s="13">
        <v>0</v>
      </c>
      <c r="T34" s="13">
        <v>2.4300000000000002</v>
      </c>
      <c r="U34" s="13">
        <v>0</v>
      </c>
      <c r="V34" s="13">
        <v>1.901</v>
      </c>
      <c r="W34" s="13">
        <v>0</v>
      </c>
      <c r="X34" s="13">
        <v>0</v>
      </c>
      <c r="Y34" s="13">
        <v>0.33700000000000002</v>
      </c>
      <c r="Z34" s="13">
        <v>2.1960000000000002</v>
      </c>
      <c r="AA34" s="13">
        <v>8.8290000000000006</v>
      </c>
      <c r="AB34" s="13">
        <v>2.319</v>
      </c>
      <c r="AC34" s="13">
        <v>0</v>
      </c>
      <c r="AD34" s="13">
        <v>0.76800000000000002</v>
      </c>
      <c r="AE34" s="13">
        <v>39.075000000000003</v>
      </c>
      <c r="AF34" s="13">
        <v>0</v>
      </c>
      <c r="AG34" s="13">
        <v>4.0940000000000003</v>
      </c>
      <c r="AH34" s="13">
        <v>0.81699999999999995</v>
      </c>
      <c r="AI34" s="13">
        <v>0</v>
      </c>
      <c r="AJ34" s="13">
        <v>2.1709999999999998</v>
      </c>
      <c r="AK34" s="13">
        <v>0</v>
      </c>
      <c r="AL34" s="13">
        <v>0</v>
      </c>
      <c r="AM34" s="13">
        <v>7.4930000000000003</v>
      </c>
      <c r="AN34" s="13">
        <v>6.0620000000000003</v>
      </c>
      <c r="AO34" s="13">
        <v>13.023</v>
      </c>
      <c r="AP34" s="13">
        <v>7.2460000000000004</v>
      </c>
      <c r="AQ34" s="13">
        <v>17.937000000000001</v>
      </c>
      <c r="AR34" s="10">
        <v>3.625</v>
      </c>
      <c r="AS34" s="10">
        <v>7.8230000000000004</v>
      </c>
      <c r="AT34" s="10">
        <v>7.165</v>
      </c>
      <c r="AU34" s="10">
        <v>7.4669999999999996</v>
      </c>
      <c r="AV34" s="10">
        <v>13.397</v>
      </c>
      <c r="AW34" s="10">
        <v>0</v>
      </c>
      <c r="AX34" s="10">
        <v>0</v>
      </c>
      <c r="AY34" s="10">
        <v>0</v>
      </c>
      <c r="AZ34" s="10">
        <v>29.577999999999999</v>
      </c>
      <c r="BA34" s="13">
        <v>0</v>
      </c>
      <c r="BB34" s="13">
        <v>0</v>
      </c>
      <c r="BC34" s="13">
        <v>0</v>
      </c>
      <c r="BD34" s="13">
        <v>0.45900000000000002</v>
      </c>
      <c r="BE34" s="13">
        <v>0.44900000000000001</v>
      </c>
      <c r="BF34" s="13">
        <v>0</v>
      </c>
      <c r="BG34" s="13">
        <v>3.4350000000000001</v>
      </c>
      <c r="BH34" s="13">
        <v>1.2769999999999999</v>
      </c>
      <c r="BI34" s="10">
        <v>4.835</v>
      </c>
      <c r="BJ34" s="10">
        <v>1.99</v>
      </c>
      <c r="BK34" s="10">
        <v>9.3780000000000001</v>
      </c>
      <c r="BL34" s="13">
        <v>11.282999999999999</v>
      </c>
      <c r="BM34" s="13">
        <v>0</v>
      </c>
      <c r="BN34" s="13">
        <v>1.851</v>
      </c>
      <c r="BO34" s="13">
        <v>0</v>
      </c>
      <c r="BP34" s="13">
        <v>12.929</v>
      </c>
      <c r="BQ34" s="13">
        <v>0</v>
      </c>
      <c r="BR34" s="10">
        <v>0.22800000000000001</v>
      </c>
      <c r="BS34" s="10">
        <v>0</v>
      </c>
      <c r="BT34" s="10">
        <v>1.635</v>
      </c>
      <c r="BU34" s="10">
        <v>0</v>
      </c>
      <c r="BV34" s="10">
        <v>7.8540000000000001</v>
      </c>
      <c r="BW34" s="10">
        <v>0</v>
      </c>
      <c r="BX34" s="13">
        <v>0.46500000000000002</v>
      </c>
      <c r="BY34" s="13">
        <v>0.27400000000000002</v>
      </c>
      <c r="BZ34" s="13">
        <v>0</v>
      </c>
      <c r="CA34" s="13">
        <v>32.695</v>
      </c>
      <c r="CB34" s="13">
        <v>5.492</v>
      </c>
      <c r="CC34" s="13">
        <v>0</v>
      </c>
      <c r="CD34" s="13">
        <v>15.465999999999999</v>
      </c>
      <c r="CE34" s="13">
        <v>0</v>
      </c>
      <c r="CF34" s="13">
        <v>19.573</v>
      </c>
      <c r="CG34" s="13">
        <v>15.946</v>
      </c>
      <c r="CH34" s="13">
        <v>0</v>
      </c>
      <c r="CI34" s="13">
        <v>3.4780000000000002</v>
      </c>
      <c r="CJ34" s="13">
        <v>1.667</v>
      </c>
      <c r="CK34" s="13">
        <v>0</v>
      </c>
      <c r="CL34" s="13">
        <v>6.9649999999999999</v>
      </c>
      <c r="CM34" s="13">
        <v>2.2360000000000002</v>
      </c>
      <c r="CN34" s="13">
        <v>5.9329999999999998</v>
      </c>
      <c r="CO34" s="13">
        <v>7.3129999999999997</v>
      </c>
      <c r="CP34" s="13">
        <v>1.732</v>
      </c>
      <c r="CQ34" s="13">
        <v>0</v>
      </c>
      <c r="CR34" s="13">
        <v>10.157</v>
      </c>
      <c r="CS34" s="10">
        <v>0</v>
      </c>
      <c r="CT34" s="10">
        <v>0</v>
      </c>
      <c r="CU34" s="10">
        <v>2.714</v>
      </c>
      <c r="CV34" s="10">
        <v>0.68799999999999994</v>
      </c>
      <c r="CW34" s="10">
        <v>0</v>
      </c>
      <c r="CX34" s="10">
        <v>5.3949999999999996</v>
      </c>
      <c r="CY34" s="10">
        <v>0.97</v>
      </c>
      <c r="CZ34" s="10">
        <v>0</v>
      </c>
    </row>
    <row r="35" spans="2:104" x14ac:dyDescent="0.25">
      <c r="B35" s="16" t="s">
        <v>202</v>
      </c>
      <c r="C35" s="15">
        <v>90500000</v>
      </c>
      <c r="D35" s="15">
        <v>5640000</v>
      </c>
      <c r="E35" s="15">
        <v>2100000</v>
      </c>
      <c r="F35" s="15">
        <v>6320000</v>
      </c>
      <c r="G35" s="15">
        <v>1610000</v>
      </c>
      <c r="H35" s="15">
        <v>26400000</v>
      </c>
      <c r="I35" s="15">
        <v>2490000</v>
      </c>
      <c r="J35" s="15">
        <v>26400000</v>
      </c>
      <c r="K35" s="15">
        <v>66300000</v>
      </c>
      <c r="L35" s="15">
        <v>57000000</v>
      </c>
      <c r="M35" s="15">
        <v>7970000</v>
      </c>
      <c r="N35" s="15">
        <v>10700000</v>
      </c>
      <c r="O35" s="15">
        <v>530000</v>
      </c>
      <c r="P35" s="15">
        <v>2590000</v>
      </c>
      <c r="Q35" s="15">
        <v>6700000</v>
      </c>
      <c r="R35" s="15">
        <v>11900000</v>
      </c>
      <c r="S35" s="15">
        <v>2960000</v>
      </c>
      <c r="T35" s="15">
        <v>2210000</v>
      </c>
      <c r="U35" s="15">
        <v>3760000</v>
      </c>
      <c r="V35" s="15">
        <v>4540000</v>
      </c>
      <c r="W35" s="15">
        <v>2210000</v>
      </c>
      <c r="X35" s="15">
        <v>2950000</v>
      </c>
      <c r="Y35" s="15" t="s">
        <v>203</v>
      </c>
      <c r="Z35" s="15">
        <v>5900000</v>
      </c>
      <c r="AA35" s="15">
        <v>20800000</v>
      </c>
      <c r="AB35" s="15">
        <v>6250000</v>
      </c>
      <c r="AC35" s="15">
        <v>1960000</v>
      </c>
      <c r="AD35" s="15">
        <v>26400000</v>
      </c>
      <c r="AE35" s="15">
        <v>57000000</v>
      </c>
      <c r="AF35" s="15">
        <v>6250000</v>
      </c>
      <c r="AG35" s="15">
        <v>26400000</v>
      </c>
      <c r="AH35" s="15">
        <v>2100000</v>
      </c>
      <c r="AI35" s="17">
        <v>7961317</v>
      </c>
      <c r="AJ35" s="17">
        <v>7961317</v>
      </c>
      <c r="AK35" s="17">
        <v>7961317</v>
      </c>
      <c r="AL35" s="17">
        <v>7961317</v>
      </c>
      <c r="AM35" s="17">
        <v>26281292</v>
      </c>
      <c r="AN35" s="17">
        <v>26281292</v>
      </c>
      <c r="AO35" s="17">
        <v>26281292</v>
      </c>
      <c r="AP35" s="17">
        <v>26281292</v>
      </c>
      <c r="AQ35" s="17">
        <v>26281292</v>
      </c>
      <c r="AR35" s="17">
        <v>87847945</v>
      </c>
      <c r="AS35" s="17">
        <v>87847945</v>
      </c>
      <c r="AT35" s="17">
        <v>23743009</v>
      </c>
      <c r="AU35" s="17">
        <v>23743009</v>
      </c>
      <c r="AV35" s="17">
        <v>10514845</v>
      </c>
      <c r="AW35" s="17">
        <v>10514845</v>
      </c>
      <c r="AX35" s="17">
        <v>3639729</v>
      </c>
      <c r="AY35" s="17">
        <v>9858701</v>
      </c>
      <c r="AZ35" s="17">
        <v>33143242</v>
      </c>
      <c r="BA35" s="17">
        <v>3789449</v>
      </c>
      <c r="BB35" s="17">
        <v>2654537</v>
      </c>
      <c r="BC35" s="17">
        <v>3207397</v>
      </c>
      <c r="BD35" s="17">
        <v>1704795</v>
      </c>
      <c r="BE35" s="17">
        <v>2090963</v>
      </c>
      <c r="BF35" s="17">
        <v>9250345</v>
      </c>
      <c r="BG35" s="17">
        <v>7783890</v>
      </c>
      <c r="BH35" s="17">
        <v>6434358</v>
      </c>
      <c r="BI35" s="17">
        <v>10602600</v>
      </c>
      <c r="BJ35" s="17">
        <v>10602600</v>
      </c>
      <c r="BK35" s="17">
        <v>10602600</v>
      </c>
      <c r="BL35" s="17">
        <v>48450900</v>
      </c>
      <c r="BM35" s="17">
        <v>48450900</v>
      </c>
      <c r="BN35" s="17">
        <v>48450900</v>
      </c>
      <c r="BO35" s="17">
        <v>48450900</v>
      </c>
      <c r="BP35" s="17">
        <v>48450900</v>
      </c>
      <c r="BQ35" s="17">
        <v>48450900</v>
      </c>
      <c r="BR35" s="17">
        <v>1870550</v>
      </c>
      <c r="BS35" s="15">
        <v>10700000</v>
      </c>
      <c r="BT35" s="15">
        <v>10700000</v>
      </c>
      <c r="BU35" s="15">
        <v>10700000</v>
      </c>
      <c r="BV35" s="15">
        <v>10700000</v>
      </c>
      <c r="BW35" s="15">
        <v>10700000</v>
      </c>
      <c r="BX35" s="17">
        <v>1001898</v>
      </c>
      <c r="BY35" s="17">
        <v>1001898</v>
      </c>
      <c r="BZ35" s="17">
        <v>43266800</v>
      </c>
      <c r="CA35" s="17">
        <v>43266800</v>
      </c>
      <c r="CB35" s="17">
        <v>43266800</v>
      </c>
      <c r="CC35" s="17">
        <v>43266800</v>
      </c>
      <c r="CD35" s="17">
        <v>43266800</v>
      </c>
      <c r="CE35" s="17">
        <v>43266800</v>
      </c>
      <c r="CF35" s="17">
        <v>43266800</v>
      </c>
      <c r="CG35" s="17">
        <v>43266800</v>
      </c>
      <c r="CH35" s="15">
        <v>7970000</v>
      </c>
      <c r="CI35" s="15">
        <v>7970000</v>
      </c>
      <c r="CJ35" s="15">
        <v>7970000</v>
      </c>
      <c r="CK35" s="17">
        <v>48450900</v>
      </c>
      <c r="CL35" s="17">
        <v>10602600</v>
      </c>
      <c r="CM35" s="17">
        <v>10602600</v>
      </c>
      <c r="CN35" s="15">
        <v>10700000</v>
      </c>
      <c r="CO35" s="17">
        <v>26281292</v>
      </c>
      <c r="CP35" s="15">
        <v>10700000</v>
      </c>
      <c r="CQ35" s="15">
        <v>10700000</v>
      </c>
      <c r="CR35" s="17">
        <v>48450900</v>
      </c>
      <c r="CS35" s="17">
        <v>43266800</v>
      </c>
      <c r="CT35" s="15">
        <v>7970000</v>
      </c>
      <c r="CU35" s="17">
        <v>10602600</v>
      </c>
      <c r="CV35" s="17">
        <v>4955000</v>
      </c>
      <c r="CW35" s="17">
        <v>33780320</v>
      </c>
      <c r="CX35" s="17">
        <v>33780320</v>
      </c>
      <c r="CY35" s="17">
        <v>4955000</v>
      </c>
      <c r="CZ35" s="15">
        <v>2950000</v>
      </c>
    </row>
    <row r="36" spans="2:104" x14ac:dyDescent="0.25">
      <c r="B36" s="16" t="s">
        <v>201</v>
      </c>
      <c r="C36" s="15">
        <f>90500000*1000000</f>
        <v>90500000000000</v>
      </c>
      <c r="D36" s="15">
        <f>5640000*1000000</f>
        <v>5640000000000</v>
      </c>
      <c r="E36" s="15">
        <f>2100000*1000000</f>
        <v>2100000000000</v>
      </c>
      <c r="F36" s="15">
        <f>6320000*1000000</f>
        <v>6320000000000</v>
      </c>
      <c r="G36" s="15">
        <f>1610000*1000000</f>
        <v>1610000000000</v>
      </c>
      <c r="H36" s="15">
        <f>26400000*1000000</f>
        <v>26400000000000</v>
      </c>
      <c r="I36" s="15">
        <f>2490000*1000000</f>
        <v>2490000000000</v>
      </c>
      <c r="J36" s="15">
        <f>26400000*1000000</f>
        <v>26400000000000</v>
      </c>
      <c r="K36" s="15">
        <f>66300000*1000000</f>
        <v>66300000000000</v>
      </c>
      <c r="L36" s="15">
        <f>57000000*1000000</f>
        <v>57000000000000</v>
      </c>
      <c r="M36" s="15">
        <f>7970000*1000000</f>
        <v>7970000000000</v>
      </c>
      <c r="N36" s="15">
        <f>10700000*1000000</f>
        <v>10700000000000</v>
      </c>
      <c r="O36" s="15">
        <f>530000*1000000</f>
        <v>530000000000</v>
      </c>
      <c r="P36" s="15">
        <f>2590000*1000000</f>
        <v>2590000000000</v>
      </c>
      <c r="Q36" s="15">
        <f>6700000*1000000</f>
        <v>6700000000000</v>
      </c>
      <c r="R36" s="15">
        <f>11900000*1000000</f>
        <v>11900000000000</v>
      </c>
      <c r="S36" s="15">
        <f>2960000*1000000</f>
        <v>2960000000000</v>
      </c>
      <c r="T36" s="15">
        <f>2210000*1000000</f>
        <v>2210000000000</v>
      </c>
      <c r="U36" s="15">
        <f>3760000*1000000</f>
        <v>3760000000000</v>
      </c>
      <c r="V36" s="15">
        <f>4540000*1000000</f>
        <v>4540000000000</v>
      </c>
      <c r="W36" s="15">
        <f>2210000*1000000</f>
        <v>2210000000000</v>
      </c>
      <c r="X36" s="15">
        <f>2950000*1000000</f>
        <v>2950000000000</v>
      </c>
      <c r="Y36" s="15">
        <f>1750000*1000000</f>
        <v>1750000000000</v>
      </c>
      <c r="Z36" s="15">
        <f>5900000*1000000</f>
        <v>5900000000000</v>
      </c>
      <c r="AA36" s="15">
        <f>20800000*1000000</f>
        <v>20800000000000</v>
      </c>
      <c r="AB36" s="15">
        <f>6250000*1000000</f>
        <v>6250000000000</v>
      </c>
      <c r="AC36" s="15">
        <f>1960000*1000000</f>
        <v>1960000000000</v>
      </c>
      <c r="AD36" s="15">
        <f>26400000*1000000</f>
        <v>26400000000000</v>
      </c>
      <c r="AE36" s="15">
        <f>57000000*1000000</f>
        <v>57000000000000</v>
      </c>
      <c r="AF36" s="15">
        <f>6250000*1000000</f>
        <v>6250000000000</v>
      </c>
      <c r="AG36" s="17">
        <f>AG35*1000000</f>
        <v>26400000000000</v>
      </c>
      <c r="AH36" s="17">
        <f t="shared" ref="AH36:CS36" si="0">AH35*1000000</f>
        <v>2100000000000</v>
      </c>
      <c r="AI36" s="17">
        <f t="shared" si="0"/>
        <v>7961317000000</v>
      </c>
      <c r="AJ36" s="17">
        <f t="shared" si="0"/>
        <v>7961317000000</v>
      </c>
      <c r="AK36" s="17">
        <f t="shared" si="0"/>
        <v>7961317000000</v>
      </c>
      <c r="AL36" s="17">
        <f t="shared" si="0"/>
        <v>7961317000000</v>
      </c>
      <c r="AM36" s="17">
        <f t="shared" si="0"/>
        <v>26281292000000</v>
      </c>
      <c r="AN36" s="17">
        <f t="shared" si="0"/>
        <v>26281292000000</v>
      </c>
      <c r="AO36" s="17">
        <f t="shared" si="0"/>
        <v>26281292000000</v>
      </c>
      <c r="AP36" s="17">
        <f t="shared" si="0"/>
        <v>26281292000000</v>
      </c>
      <c r="AQ36" s="17">
        <f t="shared" si="0"/>
        <v>26281292000000</v>
      </c>
      <c r="AR36" s="17">
        <f t="shared" si="0"/>
        <v>87847945000000</v>
      </c>
      <c r="AS36" s="17">
        <f t="shared" si="0"/>
        <v>87847945000000</v>
      </c>
      <c r="AT36" s="17">
        <f t="shared" si="0"/>
        <v>23743009000000</v>
      </c>
      <c r="AU36" s="17">
        <f t="shared" si="0"/>
        <v>23743009000000</v>
      </c>
      <c r="AV36" s="17">
        <f t="shared" si="0"/>
        <v>10514845000000</v>
      </c>
      <c r="AW36" s="17">
        <f t="shared" si="0"/>
        <v>10514845000000</v>
      </c>
      <c r="AX36" s="17">
        <f t="shared" si="0"/>
        <v>3639729000000</v>
      </c>
      <c r="AY36" s="17">
        <f t="shared" si="0"/>
        <v>9858701000000</v>
      </c>
      <c r="AZ36" s="17">
        <f t="shared" si="0"/>
        <v>33143242000000</v>
      </c>
      <c r="BA36" s="17">
        <f t="shared" si="0"/>
        <v>3789449000000</v>
      </c>
      <c r="BB36" s="17">
        <f t="shared" si="0"/>
        <v>2654537000000</v>
      </c>
      <c r="BC36" s="17">
        <f t="shared" si="0"/>
        <v>3207397000000</v>
      </c>
      <c r="BD36" s="17">
        <f t="shared" si="0"/>
        <v>1704795000000</v>
      </c>
      <c r="BE36" s="17">
        <f t="shared" si="0"/>
        <v>2090963000000</v>
      </c>
      <c r="BF36" s="17">
        <f t="shared" si="0"/>
        <v>9250345000000</v>
      </c>
      <c r="BG36" s="17">
        <f t="shared" si="0"/>
        <v>7783890000000</v>
      </c>
      <c r="BH36" s="17">
        <f t="shared" si="0"/>
        <v>6434358000000</v>
      </c>
      <c r="BI36" s="17">
        <f t="shared" si="0"/>
        <v>10602600000000</v>
      </c>
      <c r="BJ36" s="17">
        <f t="shared" si="0"/>
        <v>10602600000000</v>
      </c>
      <c r="BK36" s="17">
        <f t="shared" si="0"/>
        <v>10602600000000</v>
      </c>
      <c r="BL36" s="17">
        <f t="shared" si="0"/>
        <v>48450900000000</v>
      </c>
      <c r="BM36" s="17">
        <f t="shared" si="0"/>
        <v>48450900000000</v>
      </c>
      <c r="BN36" s="17">
        <f t="shared" si="0"/>
        <v>48450900000000</v>
      </c>
      <c r="BO36" s="17">
        <f t="shared" si="0"/>
        <v>48450900000000</v>
      </c>
      <c r="BP36" s="17">
        <f t="shared" si="0"/>
        <v>48450900000000</v>
      </c>
      <c r="BQ36" s="17">
        <f t="shared" si="0"/>
        <v>48450900000000</v>
      </c>
      <c r="BR36" s="17">
        <f t="shared" si="0"/>
        <v>1870550000000</v>
      </c>
      <c r="BS36" s="17">
        <f t="shared" si="0"/>
        <v>10700000000000</v>
      </c>
      <c r="BT36" s="17">
        <f t="shared" si="0"/>
        <v>10700000000000</v>
      </c>
      <c r="BU36" s="17">
        <f t="shared" si="0"/>
        <v>10700000000000</v>
      </c>
      <c r="BV36" s="17">
        <f t="shared" si="0"/>
        <v>10700000000000</v>
      </c>
      <c r="BW36" s="17">
        <f t="shared" si="0"/>
        <v>10700000000000</v>
      </c>
      <c r="BX36" s="17">
        <f t="shared" si="0"/>
        <v>1001898000000</v>
      </c>
      <c r="BY36" s="17">
        <f t="shared" si="0"/>
        <v>1001898000000</v>
      </c>
      <c r="BZ36" s="17">
        <f t="shared" si="0"/>
        <v>43266800000000</v>
      </c>
      <c r="CA36" s="17">
        <f t="shared" si="0"/>
        <v>43266800000000</v>
      </c>
      <c r="CB36" s="17">
        <f t="shared" si="0"/>
        <v>43266800000000</v>
      </c>
      <c r="CC36" s="17">
        <f t="shared" si="0"/>
        <v>43266800000000</v>
      </c>
      <c r="CD36" s="17">
        <f t="shared" si="0"/>
        <v>43266800000000</v>
      </c>
      <c r="CE36" s="17">
        <f t="shared" si="0"/>
        <v>43266800000000</v>
      </c>
      <c r="CF36" s="17">
        <f t="shared" si="0"/>
        <v>43266800000000</v>
      </c>
      <c r="CG36" s="17">
        <f t="shared" si="0"/>
        <v>43266800000000</v>
      </c>
      <c r="CH36" s="17">
        <f t="shared" si="0"/>
        <v>7970000000000</v>
      </c>
      <c r="CI36" s="17">
        <f t="shared" si="0"/>
        <v>7970000000000</v>
      </c>
      <c r="CJ36" s="17">
        <f t="shared" si="0"/>
        <v>7970000000000</v>
      </c>
      <c r="CK36" s="17">
        <f t="shared" si="0"/>
        <v>48450900000000</v>
      </c>
      <c r="CL36" s="17">
        <f t="shared" si="0"/>
        <v>10602600000000</v>
      </c>
      <c r="CM36" s="17">
        <f t="shared" si="0"/>
        <v>10602600000000</v>
      </c>
      <c r="CN36" s="17">
        <f t="shared" si="0"/>
        <v>10700000000000</v>
      </c>
      <c r="CO36" s="17">
        <f t="shared" si="0"/>
        <v>26281292000000</v>
      </c>
      <c r="CP36" s="17">
        <f t="shared" si="0"/>
        <v>10700000000000</v>
      </c>
      <c r="CQ36" s="17">
        <f t="shared" si="0"/>
        <v>10700000000000</v>
      </c>
      <c r="CR36" s="17">
        <f t="shared" si="0"/>
        <v>48450900000000</v>
      </c>
      <c r="CS36" s="17">
        <f t="shared" si="0"/>
        <v>43266800000000</v>
      </c>
      <c r="CT36" s="17">
        <f t="shared" ref="CT36:CZ36" si="1">CT35*1000000</f>
        <v>7970000000000</v>
      </c>
      <c r="CU36" s="17">
        <f t="shared" si="1"/>
        <v>10602600000000</v>
      </c>
      <c r="CV36" s="17">
        <f t="shared" si="1"/>
        <v>4955000000000</v>
      </c>
      <c r="CW36" s="17">
        <f t="shared" si="1"/>
        <v>33780320000000</v>
      </c>
      <c r="CX36" s="17">
        <f t="shared" si="1"/>
        <v>33780320000000</v>
      </c>
      <c r="CY36" s="17">
        <f t="shared" si="1"/>
        <v>4955000000000</v>
      </c>
      <c r="CZ36" s="17">
        <f t="shared" si="1"/>
        <v>2950000000000</v>
      </c>
    </row>
    <row r="37" spans="2:104" x14ac:dyDescent="0.25">
      <c r="B37" s="5" t="s">
        <v>206</v>
      </c>
      <c r="C37" s="18">
        <f>SUM(C6:C34)</f>
        <v>1067.2619999999999</v>
      </c>
      <c r="D37" s="18">
        <f t="shared" ref="D37:BO37" si="2">SUM(D6:D34)</f>
        <v>84.028999999999982</v>
      </c>
      <c r="E37" s="18">
        <f t="shared" si="2"/>
        <v>19.490000000000002</v>
      </c>
      <c r="F37" s="18">
        <f t="shared" si="2"/>
        <v>96.09</v>
      </c>
      <c r="G37" s="18">
        <f t="shared" si="2"/>
        <v>9.3680000000000003</v>
      </c>
      <c r="H37" s="18">
        <f t="shared" si="2"/>
        <v>114.23500000000001</v>
      </c>
      <c r="I37" s="18">
        <f t="shared" si="2"/>
        <v>277.846</v>
      </c>
      <c r="J37" s="18">
        <f t="shared" si="2"/>
        <v>322.56799999999998</v>
      </c>
      <c r="K37" s="18">
        <f t="shared" si="2"/>
        <v>777.71500000000003</v>
      </c>
      <c r="L37" s="18">
        <f t="shared" si="2"/>
        <v>674.43399999999986</v>
      </c>
      <c r="M37" s="18">
        <f t="shared" si="2"/>
        <v>68.524000000000015</v>
      </c>
      <c r="N37" s="18">
        <f t="shared" si="2"/>
        <v>68.524000000000015</v>
      </c>
      <c r="O37" s="18">
        <f t="shared" si="2"/>
        <v>10.847000000000003</v>
      </c>
      <c r="P37" s="18">
        <f t="shared" si="2"/>
        <v>6.3989999999999991</v>
      </c>
      <c r="Q37" s="18">
        <f t="shared" si="2"/>
        <v>40.328999999999994</v>
      </c>
      <c r="R37" s="18">
        <f t="shared" si="2"/>
        <v>52.628000000000007</v>
      </c>
      <c r="S37" s="18">
        <f t="shared" si="2"/>
        <v>7.5550000000000006</v>
      </c>
      <c r="T37" s="18">
        <f t="shared" si="2"/>
        <v>46.564999999999998</v>
      </c>
      <c r="U37" s="18">
        <f t="shared" si="2"/>
        <v>56.583999999999996</v>
      </c>
      <c r="V37" s="18">
        <f t="shared" si="2"/>
        <v>43.28799999999999</v>
      </c>
      <c r="W37" s="18">
        <f t="shared" si="2"/>
        <v>49.125</v>
      </c>
      <c r="X37" s="18">
        <f t="shared" si="2"/>
        <v>20</v>
      </c>
      <c r="Y37" s="18">
        <f t="shared" si="2"/>
        <v>16.21</v>
      </c>
      <c r="Z37" s="18">
        <f t="shared" si="2"/>
        <v>99.091999999999999</v>
      </c>
      <c r="AA37" s="18">
        <f t="shared" si="2"/>
        <v>150.18300000000002</v>
      </c>
      <c r="AB37" s="18">
        <f t="shared" si="2"/>
        <v>210.38899999999995</v>
      </c>
      <c r="AC37" s="18">
        <f t="shared" si="2"/>
        <v>13.880000000000003</v>
      </c>
      <c r="AD37" s="18">
        <f t="shared" si="2"/>
        <v>150.10600000000002</v>
      </c>
      <c r="AE37" s="18">
        <f t="shared" si="2"/>
        <v>363.70300000000009</v>
      </c>
      <c r="AF37" s="18">
        <f t="shared" si="2"/>
        <v>172.35399999999996</v>
      </c>
      <c r="AG37" s="18">
        <f t="shared" si="2"/>
        <v>215.43899999999996</v>
      </c>
      <c r="AH37" s="18">
        <f t="shared" si="2"/>
        <v>20.414999999999999</v>
      </c>
      <c r="AI37" s="18">
        <f t="shared" si="2"/>
        <v>73.667000000000016</v>
      </c>
      <c r="AJ37" s="18">
        <f t="shared" si="2"/>
        <v>80.122000000000028</v>
      </c>
      <c r="AK37" s="18">
        <f t="shared" si="2"/>
        <v>32.693999999999996</v>
      </c>
      <c r="AL37" s="18">
        <f t="shared" si="2"/>
        <v>32.693999999999996</v>
      </c>
      <c r="AM37" s="18">
        <f t="shared" si="2"/>
        <v>241.077</v>
      </c>
      <c r="AN37" s="18">
        <f t="shared" si="2"/>
        <v>102.25800000000001</v>
      </c>
      <c r="AO37" s="18">
        <f t="shared" si="2"/>
        <v>183.06699999999998</v>
      </c>
      <c r="AP37" s="18">
        <f t="shared" si="2"/>
        <v>278.803</v>
      </c>
      <c r="AQ37" s="18">
        <f t="shared" si="2"/>
        <v>317.50600000000003</v>
      </c>
      <c r="AR37" s="18">
        <f t="shared" si="2"/>
        <v>302.77400000000006</v>
      </c>
      <c r="AS37" s="18">
        <f t="shared" si="2"/>
        <v>404.08499999999992</v>
      </c>
      <c r="AT37" s="18">
        <f t="shared" si="2"/>
        <v>209.93999999999994</v>
      </c>
      <c r="AU37" s="18">
        <f t="shared" si="2"/>
        <v>174.20499999999998</v>
      </c>
      <c r="AV37" s="18">
        <f t="shared" si="2"/>
        <v>117.88599999999998</v>
      </c>
      <c r="AW37" s="18">
        <f t="shared" si="2"/>
        <v>89.774000000000015</v>
      </c>
      <c r="AX37" s="18">
        <f t="shared" si="2"/>
        <v>9.724000000000002</v>
      </c>
      <c r="AY37" s="18">
        <f t="shared" si="2"/>
        <v>44.969000000000001</v>
      </c>
      <c r="AZ37" s="18">
        <f t="shared" si="2"/>
        <v>283.36200000000002</v>
      </c>
      <c r="BA37" s="18">
        <f t="shared" si="2"/>
        <v>29.950999999999993</v>
      </c>
      <c r="BB37" s="18">
        <f t="shared" si="2"/>
        <v>15.596</v>
      </c>
      <c r="BC37" s="18">
        <f t="shared" si="2"/>
        <v>21.075999999999997</v>
      </c>
      <c r="BD37" s="18">
        <f t="shared" si="2"/>
        <v>7.1579999999999986</v>
      </c>
      <c r="BE37" s="18">
        <f t="shared" si="2"/>
        <v>25.051000000000002</v>
      </c>
      <c r="BF37" s="18">
        <f t="shared" si="2"/>
        <v>58.563999999999993</v>
      </c>
      <c r="BG37" s="18">
        <f t="shared" si="2"/>
        <v>67.239000000000019</v>
      </c>
      <c r="BH37" s="18">
        <f t="shared" si="2"/>
        <v>47.718000000000004</v>
      </c>
      <c r="BI37" s="18">
        <f t="shared" si="2"/>
        <v>90.324000000000012</v>
      </c>
      <c r="BJ37" s="18">
        <f t="shared" si="2"/>
        <v>59.846999999999994</v>
      </c>
      <c r="BK37" s="18">
        <f t="shared" si="2"/>
        <v>89.572000000000017</v>
      </c>
      <c r="BL37" s="18">
        <f t="shared" si="2"/>
        <v>176.453</v>
      </c>
      <c r="BM37" s="18">
        <f t="shared" si="2"/>
        <v>311.13299999999998</v>
      </c>
      <c r="BN37" s="18">
        <f t="shared" si="2"/>
        <v>326.51099999999997</v>
      </c>
      <c r="BO37" s="18">
        <f t="shared" si="2"/>
        <v>309.30599999999998</v>
      </c>
      <c r="BP37" s="18">
        <f t="shared" ref="BP37:CZ37" si="3">SUM(BP6:BP34)</f>
        <v>447.8</v>
      </c>
      <c r="BQ37" s="18">
        <f t="shared" si="3"/>
        <v>276.798</v>
      </c>
      <c r="BR37" s="18">
        <f t="shared" si="3"/>
        <v>25.872</v>
      </c>
      <c r="BS37" s="18">
        <f t="shared" si="3"/>
        <v>77.168999999999997</v>
      </c>
      <c r="BT37" s="18">
        <f t="shared" si="3"/>
        <v>76.177999999999997</v>
      </c>
      <c r="BU37" s="18">
        <f t="shared" si="3"/>
        <v>52.452000000000005</v>
      </c>
      <c r="BV37" s="18">
        <f t="shared" si="3"/>
        <v>69.283999999999992</v>
      </c>
      <c r="BW37" s="18">
        <f t="shared" si="3"/>
        <v>77.658000000000015</v>
      </c>
      <c r="BX37" s="18">
        <f t="shared" si="3"/>
        <v>14.773000000000001</v>
      </c>
      <c r="BY37" s="18">
        <f t="shared" si="3"/>
        <v>9.7199999999999989</v>
      </c>
      <c r="BZ37" s="18">
        <f t="shared" si="3"/>
        <v>126.47099999999999</v>
      </c>
      <c r="CA37" s="18">
        <f t="shared" si="3"/>
        <v>358.41099999999994</v>
      </c>
      <c r="CB37" s="18">
        <f t="shared" si="3"/>
        <v>305.23600000000005</v>
      </c>
      <c r="CC37" s="18">
        <f t="shared" si="3"/>
        <v>162.11599999999999</v>
      </c>
      <c r="CD37" s="18">
        <f t="shared" si="3"/>
        <v>455.90299999999996</v>
      </c>
      <c r="CE37" s="18">
        <f t="shared" si="3"/>
        <v>306.41300000000001</v>
      </c>
      <c r="CF37" s="18">
        <f t="shared" si="3"/>
        <v>349.166</v>
      </c>
      <c r="CG37" s="18">
        <f t="shared" si="3"/>
        <v>488.077</v>
      </c>
      <c r="CH37" s="18">
        <f t="shared" si="3"/>
        <v>65.013999999999996</v>
      </c>
      <c r="CI37" s="18">
        <f t="shared" si="3"/>
        <v>56.294000000000004</v>
      </c>
      <c r="CJ37" s="18">
        <f t="shared" si="3"/>
        <v>41.52600000000001</v>
      </c>
      <c r="CK37" s="18">
        <f t="shared" si="3"/>
        <v>259.85100000000006</v>
      </c>
      <c r="CL37" s="18">
        <f t="shared" si="3"/>
        <v>88.603999999999985</v>
      </c>
      <c r="CM37" s="18">
        <f t="shared" si="3"/>
        <v>84.058999999999997</v>
      </c>
      <c r="CN37" s="18">
        <f t="shared" si="3"/>
        <v>67.25800000000001</v>
      </c>
      <c r="CO37" s="18">
        <f t="shared" si="3"/>
        <v>166.95600000000002</v>
      </c>
      <c r="CP37" s="18">
        <f t="shared" si="3"/>
        <v>86.469000000000023</v>
      </c>
      <c r="CQ37" s="18">
        <f t="shared" si="3"/>
        <v>60.960999999999999</v>
      </c>
      <c r="CR37" s="18">
        <f t="shared" si="3"/>
        <v>374.85200000000003</v>
      </c>
      <c r="CS37" s="18">
        <f t="shared" si="3"/>
        <v>217.726</v>
      </c>
      <c r="CT37" s="18">
        <f t="shared" si="3"/>
        <v>63.135000000000012</v>
      </c>
      <c r="CU37" s="18">
        <f t="shared" si="3"/>
        <v>67.867000000000004</v>
      </c>
      <c r="CV37" s="18">
        <f t="shared" si="3"/>
        <v>20.965</v>
      </c>
      <c r="CW37" s="18">
        <f t="shared" si="3"/>
        <v>140.82399999999998</v>
      </c>
      <c r="CX37" s="18">
        <f t="shared" si="3"/>
        <v>358.8359999999999</v>
      </c>
      <c r="CY37" s="18">
        <f t="shared" si="3"/>
        <v>28.978000000000002</v>
      </c>
      <c r="CZ37" s="18">
        <f t="shared" si="3"/>
        <v>23.244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Z67"/>
  <sheetViews>
    <sheetView topLeftCell="B67" zoomScaleNormal="100" workbookViewId="0">
      <selection activeCell="L90" sqref="L90"/>
    </sheetView>
  </sheetViews>
  <sheetFormatPr baseColWidth="10" defaultRowHeight="15" x14ac:dyDescent="0.25"/>
  <cols>
    <col min="2" max="2" width="26.5703125" customWidth="1"/>
  </cols>
  <sheetData>
    <row r="3" spans="2:104" ht="33.75" x14ac:dyDescent="0.25">
      <c r="B3" s="1" t="s">
        <v>0</v>
      </c>
      <c r="C3" s="4" t="s">
        <v>1</v>
      </c>
      <c r="D3" s="11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2" t="s">
        <v>9</v>
      </c>
      <c r="L3" s="2" t="s">
        <v>10</v>
      </c>
      <c r="M3" s="4" t="s">
        <v>11</v>
      </c>
      <c r="N3" s="3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3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129</v>
      </c>
      <c r="AH3" s="4" t="s">
        <v>130</v>
      </c>
      <c r="AI3" s="4" t="s">
        <v>131</v>
      </c>
      <c r="AJ3" s="4" t="s">
        <v>132</v>
      </c>
      <c r="AK3" s="4" t="s">
        <v>133</v>
      </c>
      <c r="AL3" s="4" t="s">
        <v>134</v>
      </c>
      <c r="AM3" s="4" t="s">
        <v>135</v>
      </c>
      <c r="AN3" s="4" t="s">
        <v>136</v>
      </c>
      <c r="AO3" s="4" t="s">
        <v>138</v>
      </c>
      <c r="AP3" s="4" t="s">
        <v>139</v>
      </c>
      <c r="AQ3" s="4" t="s">
        <v>140</v>
      </c>
      <c r="AR3" s="4" t="s">
        <v>141</v>
      </c>
      <c r="AS3" s="4" t="s">
        <v>142</v>
      </c>
      <c r="AT3" s="4" t="s">
        <v>143</v>
      </c>
      <c r="AU3" s="4" t="s">
        <v>144</v>
      </c>
      <c r="AV3" s="4" t="s">
        <v>145</v>
      </c>
      <c r="AW3" s="4" t="s">
        <v>146</v>
      </c>
      <c r="AX3" s="4" t="s">
        <v>147</v>
      </c>
      <c r="AY3" s="4" t="s">
        <v>148</v>
      </c>
      <c r="AZ3" s="4" t="s">
        <v>149</v>
      </c>
      <c r="BA3" s="4" t="s">
        <v>150</v>
      </c>
      <c r="BB3" s="4" t="s">
        <v>151</v>
      </c>
      <c r="BC3" s="4" t="s">
        <v>152</v>
      </c>
      <c r="BD3" s="4" t="s">
        <v>153</v>
      </c>
      <c r="BE3" s="4" t="s">
        <v>154</v>
      </c>
      <c r="BF3" s="4" t="s">
        <v>155</v>
      </c>
      <c r="BG3" s="4" t="s">
        <v>156</v>
      </c>
      <c r="BH3" s="4" t="s">
        <v>157</v>
      </c>
      <c r="BI3" s="4" t="s">
        <v>158</v>
      </c>
      <c r="BJ3" s="4" t="s">
        <v>159</v>
      </c>
      <c r="BK3" s="4" t="s">
        <v>160</v>
      </c>
      <c r="BL3" s="4" t="s">
        <v>161</v>
      </c>
      <c r="BM3" s="4" t="s">
        <v>162</v>
      </c>
      <c r="BN3" s="4" t="s">
        <v>163</v>
      </c>
      <c r="BO3" s="4" t="s">
        <v>164</v>
      </c>
      <c r="BP3" s="4" t="s">
        <v>165</v>
      </c>
      <c r="BQ3" s="4" t="s">
        <v>166</v>
      </c>
      <c r="BR3" s="4" t="s">
        <v>167</v>
      </c>
      <c r="BS3" s="3" t="s">
        <v>168</v>
      </c>
      <c r="BT3" s="3" t="s">
        <v>169</v>
      </c>
      <c r="BU3" s="3" t="s">
        <v>170</v>
      </c>
      <c r="BV3" s="3" t="s">
        <v>171</v>
      </c>
      <c r="BW3" s="3" t="s">
        <v>172</v>
      </c>
      <c r="BX3" s="4" t="s">
        <v>173</v>
      </c>
      <c r="BY3" s="4" t="s">
        <v>174</v>
      </c>
      <c r="BZ3" s="4" t="s">
        <v>175</v>
      </c>
      <c r="CA3" s="4" t="s">
        <v>176</v>
      </c>
      <c r="CB3" s="4" t="s">
        <v>177</v>
      </c>
      <c r="CC3" s="4" t="s">
        <v>178</v>
      </c>
      <c r="CD3" s="4" t="s">
        <v>179</v>
      </c>
      <c r="CE3" s="4" t="s">
        <v>180</v>
      </c>
      <c r="CF3" s="4" t="s">
        <v>181</v>
      </c>
      <c r="CG3" s="4" t="s">
        <v>182</v>
      </c>
      <c r="CH3" s="3" t="s">
        <v>183</v>
      </c>
      <c r="CI3" s="3" t="s">
        <v>184</v>
      </c>
      <c r="CJ3" s="3" t="s">
        <v>185</v>
      </c>
      <c r="CK3" s="4" t="s">
        <v>186</v>
      </c>
      <c r="CL3" s="4" t="s">
        <v>187</v>
      </c>
      <c r="CM3" s="4" t="s">
        <v>188</v>
      </c>
      <c r="CN3" s="3" t="s">
        <v>189</v>
      </c>
      <c r="CO3" s="4" t="s">
        <v>190</v>
      </c>
      <c r="CP3" s="3" t="s">
        <v>191</v>
      </c>
      <c r="CQ3" s="3" t="s">
        <v>192</v>
      </c>
      <c r="CR3" s="4" t="s">
        <v>193</v>
      </c>
      <c r="CS3" s="4" t="s">
        <v>194</v>
      </c>
      <c r="CT3" s="3" t="s">
        <v>195</v>
      </c>
      <c r="CU3" s="4" t="s">
        <v>196</v>
      </c>
      <c r="CV3" s="4" t="s">
        <v>197</v>
      </c>
      <c r="CW3" s="4" t="s">
        <v>198</v>
      </c>
      <c r="CX3" s="4" t="s">
        <v>199</v>
      </c>
      <c r="CY3" s="4" t="s">
        <v>200</v>
      </c>
      <c r="CZ3" s="4" t="s">
        <v>137</v>
      </c>
    </row>
    <row r="4" spans="2:104" ht="22.5" x14ac:dyDescent="0.25">
      <c r="B4" s="1" t="s">
        <v>31</v>
      </c>
      <c r="C4" s="5" t="s">
        <v>32</v>
      </c>
      <c r="D4" s="5" t="s">
        <v>33</v>
      </c>
      <c r="E4" s="5" t="s">
        <v>34</v>
      </c>
      <c r="F4" s="6">
        <v>40420</v>
      </c>
      <c r="G4" s="6">
        <v>41351</v>
      </c>
      <c r="H4" s="6">
        <v>43146</v>
      </c>
      <c r="I4" s="8">
        <v>43223</v>
      </c>
      <c r="J4" s="14">
        <v>43227</v>
      </c>
      <c r="K4" s="7">
        <v>43358</v>
      </c>
      <c r="L4" s="8">
        <v>43573</v>
      </c>
      <c r="M4" s="8">
        <v>37418</v>
      </c>
      <c r="N4" s="8">
        <v>37417</v>
      </c>
      <c r="O4" s="12" t="s">
        <v>35</v>
      </c>
      <c r="P4" s="9" t="s">
        <v>36</v>
      </c>
      <c r="Q4" s="8">
        <v>39671</v>
      </c>
      <c r="R4" s="8">
        <v>40755</v>
      </c>
      <c r="S4" s="9" t="s">
        <v>37</v>
      </c>
      <c r="T4" s="8">
        <v>34902</v>
      </c>
      <c r="U4" s="8">
        <v>35278</v>
      </c>
      <c r="V4" s="8">
        <v>35302</v>
      </c>
      <c r="W4" s="8">
        <v>36044</v>
      </c>
      <c r="X4" s="8">
        <v>37370</v>
      </c>
      <c r="Y4" s="8">
        <v>42894</v>
      </c>
      <c r="Z4" s="8">
        <v>43254</v>
      </c>
      <c r="AA4" s="8">
        <v>35329</v>
      </c>
      <c r="AB4" s="8">
        <v>35955</v>
      </c>
      <c r="AC4" s="8">
        <v>38804</v>
      </c>
      <c r="AD4" s="8">
        <v>42104</v>
      </c>
      <c r="AE4" s="8">
        <v>42142</v>
      </c>
      <c r="AF4" s="8">
        <v>43363</v>
      </c>
      <c r="AG4" s="8">
        <v>43569</v>
      </c>
      <c r="AH4" s="8">
        <v>40330</v>
      </c>
      <c r="AI4" s="6">
        <v>40697</v>
      </c>
      <c r="AJ4" s="6">
        <v>40354</v>
      </c>
      <c r="AK4" s="6">
        <v>42096</v>
      </c>
      <c r="AL4" s="6">
        <v>42097</v>
      </c>
      <c r="AM4" s="8">
        <v>34085</v>
      </c>
      <c r="AN4" s="8">
        <v>37332</v>
      </c>
      <c r="AO4" s="8">
        <v>38803</v>
      </c>
      <c r="AP4" s="8">
        <v>39944</v>
      </c>
      <c r="AQ4" s="8">
        <v>40365</v>
      </c>
      <c r="AR4" s="8">
        <v>41918</v>
      </c>
      <c r="AS4" s="8">
        <v>39974</v>
      </c>
      <c r="AT4" s="8">
        <v>39986</v>
      </c>
      <c r="AU4" s="8">
        <v>37385</v>
      </c>
      <c r="AV4" s="8">
        <v>35368</v>
      </c>
      <c r="AW4" s="8">
        <v>35321</v>
      </c>
      <c r="AX4" s="8">
        <v>31993</v>
      </c>
      <c r="AY4" s="8">
        <v>39940</v>
      </c>
      <c r="AZ4" s="8">
        <v>38845</v>
      </c>
      <c r="BA4" s="8">
        <v>41511</v>
      </c>
      <c r="BB4" s="8">
        <v>38797</v>
      </c>
      <c r="BC4" s="8">
        <v>38798</v>
      </c>
      <c r="BD4" s="8">
        <v>39898</v>
      </c>
      <c r="BE4" s="8">
        <v>39940</v>
      </c>
      <c r="BF4" s="8">
        <v>36218</v>
      </c>
      <c r="BG4" s="8">
        <v>39373</v>
      </c>
      <c r="BH4" s="8">
        <v>32469</v>
      </c>
      <c r="BI4" s="8">
        <v>30977</v>
      </c>
      <c r="BJ4" s="8">
        <v>40105</v>
      </c>
      <c r="BK4" s="8">
        <v>40133</v>
      </c>
      <c r="BL4" s="8">
        <v>39894</v>
      </c>
      <c r="BM4" s="8">
        <v>39914</v>
      </c>
      <c r="BN4" s="8">
        <v>39775</v>
      </c>
      <c r="BO4" s="8">
        <v>30582</v>
      </c>
      <c r="BP4" s="8">
        <v>31709</v>
      </c>
      <c r="BQ4" s="8">
        <v>39409</v>
      </c>
      <c r="BR4" s="8">
        <v>39609</v>
      </c>
      <c r="BS4" s="8">
        <v>40352</v>
      </c>
      <c r="BT4" s="8">
        <v>40356</v>
      </c>
      <c r="BU4" s="8">
        <v>30589</v>
      </c>
      <c r="BV4" s="8">
        <v>40133</v>
      </c>
      <c r="BW4" s="8">
        <v>40494</v>
      </c>
      <c r="BX4" s="8">
        <v>36293</v>
      </c>
      <c r="BY4" s="8">
        <v>31912</v>
      </c>
      <c r="BZ4" s="8">
        <v>30740</v>
      </c>
      <c r="CA4" s="8">
        <v>39684</v>
      </c>
      <c r="CB4" s="8">
        <v>35310</v>
      </c>
      <c r="CC4" s="8">
        <v>30795</v>
      </c>
      <c r="CD4" s="8">
        <v>39390</v>
      </c>
      <c r="CE4" s="8">
        <v>42679</v>
      </c>
      <c r="CF4" s="8">
        <v>30977</v>
      </c>
      <c r="CG4" s="8">
        <v>40512</v>
      </c>
      <c r="CH4" s="8">
        <v>40490</v>
      </c>
      <c r="CI4" s="8">
        <v>39686</v>
      </c>
      <c r="CJ4" s="8">
        <v>39904</v>
      </c>
      <c r="CK4" s="8">
        <v>32339</v>
      </c>
      <c r="CL4" s="8">
        <v>32401</v>
      </c>
      <c r="CM4" s="8">
        <v>32469</v>
      </c>
      <c r="CN4" s="8">
        <v>39348</v>
      </c>
      <c r="CO4" s="8">
        <v>42105</v>
      </c>
      <c r="CP4" s="8">
        <v>30075</v>
      </c>
      <c r="CQ4" s="8">
        <v>31918</v>
      </c>
      <c r="CR4" s="8">
        <v>43611</v>
      </c>
      <c r="CS4" s="8">
        <v>43561</v>
      </c>
      <c r="CT4" s="8">
        <v>43235</v>
      </c>
      <c r="CU4" s="8">
        <v>42833</v>
      </c>
      <c r="CV4" s="8">
        <v>43370</v>
      </c>
      <c r="CW4" s="8">
        <v>32248</v>
      </c>
      <c r="CX4" s="8">
        <v>43236</v>
      </c>
      <c r="CY4" s="8">
        <v>43611</v>
      </c>
      <c r="CZ4" s="8">
        <v>37385</v>
      </c>
    </row>
    <row r="5" spans="2:104" x14ac:dyDescent="0.25">
      <c r="B5" s="5" t="s">
        <v>127</v>
      </c>
      <c r="C5" s="10">
        <v>52.642000000000003</v>
      </c>
      <c r="D5" s="10">
        <v>2.4809999999999999</v>
      </c>
      <c r="E5" s="10">
        <v>1.7969999999999999</v>
      </c>
      <c r="F5" s="10">
        <v>3.129</v>
      </c>
      <c r="G5" s="10">
        <v>1.3360000000000001</v>
      </c>
      <c r="H5" s="10">
        <v>0</v>
      </c>
      <c r="I5" s="10">
        <v>19.033000000000001</v>
      </c>
      <c r="J5" s="10">
        <v>20.989000000000001</v>
      </c>
      <c r="K5" s="10">
        <v>1.5669999999999999</v>
      </c>
      <c r="L5" s="10">
        <v>30.74</v>
      </c>
      <c r="M5" s="13">
        <v>2.0379999999999998</v>
      </c>
      <c r="N5" s="13">
        <v>0</v>
      </c>
      <c r="O5" s="13">
        <v>0.32400000000000001</v>
      </c>
      <c r="P5" s="13">
        <v>0</v>
      </c>
      <c r="Q5" s="13">
        <v>3.7829999999999999</v>
      </c>
      <c r="R5" s="13">
        <v>1.3620000000000001</v>
      </c>
      <c r="S5" s="13">
        <v>0.27500000000000002</v>
      </c>
      <c r="T5" s="13">
        <v>0</v>
      </c>
      <c r="U5" s="13">
        <v>1.7669999999999999</v>
      </c>
      <c r="V5" s="13">
        <v>3.738</v>
      </c>
      <c r="W5" s="13">
        <v>0</v>
      </c>
      <c r="X5" s="13">
        <v>1.218</v>
      </c>
      <c r="Y5" s="13">
        <v>0.99399999999999999</v>
      </c>
      <c r="Z5" s="13">
        <v>3.3719999999999999</v>
      </c>
      <c r="AA5" s="13">
        <v>7.5869999999999997</v>
      </c>
      <c r="AB5" s="13">
        <v>3.7919999999999998</v>
      </c>
      <c r="AC5" s="13">
        <v>0</v>
      </c>
      <c r="AD5" s="13">
        <v>0</v>
      </c>
      <c r="AE5" s="13">
        <v>17.318999999999999</v>
      </c>
      <c r="AF5" s="13">
        <v>5.3780000000000001</v>
      </c>
      <c r="AG5" s="13">
        <v>4.133</v>
      </c>
      <c r="AH5" s="13">
        <v>0</v>
      </c>
      <c r="AI5" s="13">
        <v>2.766</v>
      </c>
      <c r="AJ5" s="13">
        <v>3.5009999999999999</v>
      </c>
      <c r="AK5" s="13">
        <v>0</v>
      </c>
      <c r="AL5" s="13">
        <v>1.581</v>
      </c>
      <c r="AM5" s="13">
        <v>16.193000000000001</v>
      </c>
      <c r="AN5" s="13">
        <v>11.082000000000001</v>
      </c>
      <c r="AO5" s="13">
        <v>2.2440000000000002</v>
      </c>
      <c r="AP5" s="13">
        <v>21.922999999999998</v>
      </c>
      <c r="AQ5" s="13">
        <v>28.518000000000001</v>
      </c>
      <c r="AR5" s="10">
        <v>78.858000000000004</v>
      </c>
      <c r="AS5" s="10">
        <v>56.59</v>
      </c>
      <c r="AT5" s="10">
        <v>10.407999999999999</v>
      </c>
      <c r="AU5" s="10">
        <v>0</v>
      </c>
      <c r="AV5" s="10">
        <v>7.7839999999999998</v>
      </c>
      <c r="AW5" s="10">
        <v>0</v>
      </c>
      <c r="AX5" s="10">
        <v>0.249</v>
      </c>
      <c r="AY5" s="10">
        <v>1.9790000000000001</v>
      </c>
      <c r="AZ5" s="10">
        <v>7.0709999999999997</v>
      </c>
      <c r="BA5" s="13">
        <v>0</v>
      </c>
      <c r="BB5" s="13">
        <v>0</v>
      </c>
      <c r="BC5" s="13">
        <v>3.7930000000000001</v>
      </c>
      <c r="BD5" s="13">
        <v>0.32600000000000001</v>
      </c>
      <c r="BE5" s="13">
        <v>1.518</v>
      </c>
      <c r="BF5" s="13">
        <v>0</v>
      </c>
      <c r="BG5" s="13">
        <v>7.9930000000000003</v>
      </c>
      <c r="BH5" s="13">
        <v>3.246</v>
      </c>
      <c r="BI5" s="10">
        <v>3.9790000000000001</v>
      </c>
      <c r="BJ5" s="10">
        <v>3.1259999999999999</v>
      </c>
      <c r="BK5" s="10">
        <v>6.5289999999999999</v>
      </c>
      <c r="BL5" s="13">
        <v>23.082999999999998</v>
      </c>
      <c r="BM5" s="13">
        <v>7.6239999999999997</v>
      </c>
      <c r="BN5" s="13">
        <v>9.9640000000000004</v>
      </c>
      <c r="BO5" s="13">
        <v>0</v>
      </c>
      <c r="BP5" s="13">
        <v>19.443000000000001</v>
      </c>
      <c r="BQ5" s="13">
        <v>20.969000000000001</v>
      </c>
      <c r="BR5" s="10">
        <v>0.51100000000000001</v>
      </c>
      <c r="BS5" s="10">
        <v>0</v>
      </c>
      <c r="BT5" s="10">
        <v>6.3369999999999997</v>
      </c>
      <c r="BU5" s="10">
        <v>2.57</v>
      </c>
      <c r="BV5" s="10">
        <v>6.8780000000000001</v>
      </c>
      <c r="BW5" s="10">
        <v>9.5510000000000002</v>
      </c>
      <c r="BX5" s="13">
        <v>1.282</v>
      </c>
      <c r="BY5" s="13">
        <v>0.72499999999999998</v>
      </c>
      <c r="BZ5" s="13">
        <v>11.21</v>
      </c>
      <c r="CA5" s="13">
        <v>11.932</v>
      </c>
      <c r="CB5" s="13">
        <v>27.19</v>
      </c>
      <c r="CC5" s="13">
        <v>20.02</v>
      </c>
      <c r="CD5" s="13">
        <v>0.82099999999999995</v>
      </c>
      <c r="CE5" s="13">
        <v>6.8869999999999996</v>
      </c>
      <c r="CF5" s="13">
        <v>19.381</v>
      </c>
      <c r="CG5" s="13">
        <v>11.211</v>
      </c>
      <c r="CH5" s="13">
        <v>2.4220000000000002</v>
      </c>
      <c r="CI5" s="13">
        <v>1.6779999999999999</v>
      </c>
      <c r="CJ5" s="13">
        <v>7.1840000000000002</v>
      </c>
      <c r="CK5" s="13">
        <v>2.9020000000000001</v>
      </c>
      <c r="CL5" s="13">
        <v>2.782</v>
      </c>
      <c r="CM5" s="13">
        <v>5.61</v>
      </c>
      <c r="CN5" s="13">
        <v>2.2050000000000001</v>
      </c>
      <c r="CO5" s="13">
        <v>12.443</v>
      </c>
      <c r="CP5" s="13">
        <v>6.3630000000000004</v>
      </c>
      <c r="CQ5" s="13">
        <v>1.5629999999999999</v>
      </c>
      <c r="CR5" s="13">
        <v>4.7270000000000003</v>
      </c>
      <c r="CS5" s="10">
        <v>43.752000000000002</v>
      </c>
      <c r="CT5" s="10">
        <v>3.1459999999999999</v>
      </c>
      <c r="CU5" s="10">
        <v>4.4379999999999997</v>
      </c>
      <c r="CV5" s="10">
        <v>1.665</v>
      </c>
      <c r="CW5" s="10">
        <v>5.6920000000000002</v>
      </c>
      <c r="CX5" s="10">
        <v>12.939</v>
      </c>
      <c r="CY5" s="10">
        <v>0</v>
      </c>
      <c r="CZ5" s="10">
        <v>0</v>
      </c>
    </row>
    <row r="6" spans="2:104" x14ac:dyDescent="0.25">
      <c r="B6" s="5" t="s">
        <v>126</v>
      </c>
      <c r="C6" s="10">
        <v>18.199000000000002</v>
      </c>
      <c r="D6" s="10">
        <v>2.4809999999999999</v>
      </c>
      <c r="E6" s="10">
        <v>0</v>
      </c>
      <c r="F6" s="10">
        <v>12.516</v>
      </c>
      <c r="G6" s="10">
        <v>0.33400000000000002</v>
      </c>
      <c r="H6" s="10">
        <v>0</v>
      </c>
      <c r="I6" s="10">
        <v>19.033000000000001</v>
      </c>
      <c r="J6" s="10">
        <v>10.012</v>
      </c>
      <c r="K6" s="10">
        <v>66.546000000000006</v>
      </c>
      <c r="L6" s="10">
        <v>103.611</v>
      </c>
      <c r="M6" s="13">
        <v>0</v>
      </c>
      <c r="N6" s="13">
        <v>4.8310000000000004</v>
      </c>
      <c r="O6" s="13">
        <v>0.432</v>
      </c>
      <c r="P6" s="13">
        <v>0</v>
      </c>
      <c r="Q6" s="13">
        <v>2.8889999999999998</v>
      </c>
      <c r="R6" s="13">
        <v>1.3620000000000001</v>
      </c>
      <c r="S6" s="13">
        <v>0</v>
      </c>
      <c r="T6" s="13">
        <v>3.3780000000000001</v>
      </c>
      <c r="U6" s="13">
        <v>1.5149999999999999</v>
      </c>
      <c r="V6" s="13">
        <v>3.1920000000000002</v>
      </c>
      <c r="W6" s="13">
        <v>2.3199999999999998</v>
      </c>
      <c r="X6" s="13">
        <v>1.827</v>
      </c>
      <c r="Y6" s="13">
        <v>0.99399999999999999</v>
      </c>
      <c r="Z6" s="13">
        <v>3.3719999999999999</v>
      </c>
      <c r="AA6" s="13">
        <v>20.707000000000001</v>
      </c>
      <c r="AB6" s="13">
        <v>3.6459999999999999</v>
      </c>
      <c r="AC6" s="13">
        <v>0.50800000000000001</v>
      </c>
      <c r="AD6" s="13">
        <v>0</v>
      </c>
      <c r="AE6" s="13">
        <v>33.670999999999999</v>
      </c>
      <c r="AF6" s="13">
        <v>10.756</v>
      </c>
      <c r="AG6" s="13">
        <v>6.3849999999999998</v>
      </c>
      <c r="AH6" s="13">
        <v>1.228</v>
      </c>
      <c r="AI6" s="13">
        <v>4.07</v>
      </c>
      <c r="AJ6" s="13">
        <v>7.7549999999999999</v>
      </c>
      <c r="AK6" s="13">
        <v>2.3719999999999999</v>
      </c>
      <c r="AL6" s="13">
        <v>0</v>
      </c>
      <c r="AM6" s="13">
        <v>2.1160000000000001</v>
      </c>
      <c r="AN6" s="13">
        <v>2.8479999999999999</v>
      </c>
      <c r="AO6" s="13">
        <v>0</v>
      </c>
      <c r="AP6" s="13">
        <v>13.561999999999999</v>
      </c>
      <c r="AQ6" s="13">
        <v>17.562999999999999</v>
      </c>
      <c r="AR6" s="10">
        <v>41.024000000000001</v>
      </c>
      <c r="AS6" s="10">
        <v>48.756</v>
      </c>
      <c r="AT6" s="10">
        <v>10.407999999999999</v>
      </c>
      <c r="AU6" s="10">
        <v>20.067</v>
      </c>
      <c r="AV6" s="10">
        <v>0</v>
      </c>
      <c r="AW6" s="10">
        <v>3.0489999999999999</v>
      </c>
      <c r="AX6" s="10">
        <v>0</v>
      </c>
      <c r="AY6" s="10">
        <v>1.9790000000000001</v>
      </c>
      <c r="AZ6" s="10">
        <v>3.5350000000000001</v>
      </c>
      <c r="BA6" s="13">
        <v>2.8740000000000001</v>
      </c>
      <c r="BB6" s="13">
        <v>0.84199999999999997</v>
      </c>
      <c r="BC6" s="13">
        <v>0</v>
      </c>
      <c r="BD6" s="13">
        <v>0</v>
      </c>
      <c r="BE6" s="13">
        <v>0.50600000000000001</v>
      </c>
      <c r="BF6" s="13">
        <v>0</v>
      </c>
      <c r="BG6" s="13">
        <v>2.923</v>
      </c>
      <c r="BH6" s="13">
        <v>0</v>
      </c>
      <c r="BI6" s="10">
        <v>0.36099999999999999</v>
      </c>
      <c r="BJ6" s="10">
        <v>9.3780000000000001</v>
      </c>
      <c r="BK6" s="10">
        <v>0</v>
      </c>
      <c r="BL6" s="13">
        <v>0</v>
      </c>
      <c r="BM6" s="13">
        <v>16.152999999999999</v>
      </c>
      <c r="BN6" s="13">
        <v>12.398999999999999</v>
      </c>
      <c r="BO6" s="13">
        <v>12.936999999999999</v>
      </c>
      <c r="BP6" s="13">
        <v>9.7219999999999995</v>
      </c>
      <c r="BQ6" s="13">
        <v>9.4290000000000003</v>
      </c>
      <c r="BR6" s="10">
        <v>0</v>
      </c>
      <c r="BS6" s="10">
        <v>0</v>
      </c>
      <c r="BT6" s="10">
        <v>3.169</v>
      </c>
      <c r="BU6" s="10">
        <v>0</v>
      </c>
      <c r="BV6" s="10">
        <v>0</v>
      </c>
      <c r="BW6" s="10">
        <v>0</v>
      </c>
      <c r="BX6" s="13">
        <v>1.7090000000000001</v>
      </c>
      <c r="BY6" s="13">
        <v>0</v>
      </c>
      <c r="BZ6" s="13">
        <v>0</v>
      </c>
      <c r="CA6" s="13">
        <v>24.305</v>
      </c>
      <c r="CB6" s="13">
        <v>20.445</v>
      </c>
      <c r="CC6" s="13">
        <v>15.884</v>
      </c>
      <c r="CD6" s="13">
        <v>0.995</v>
      </c>
      <c r="CE6" s="13">
        <v>6.8869999999999996</v>
      </c>
      <c r="CF6" s="13">
        <v>5.8239999999999998</v>
      </c>
      <c r="CG6" s="13">
        <v>33.89</v>
      </c>
      <c r="CH6" s="13">
        <v>3.0209999999999999</v>
      </c>
      <c r="CI6" s="13">
        <v>0.68300000000000005</v>
      </c>
      <c r="CJ6" s="13">
        <v>3.5920000000000001</v>
      </c>
      <c r="CK6" s="13">
        <v>0</v>
      </c>
      <c r="CL6" s="13">
        <v>6.9790000000000001</v>
      </c>
      <c r="CM6" s="13">
        <v>0</v>
      </c>
      <c r="CN6" s="13">
        <v>0</v>
      </c>
      <c r="CO6" s="13">
        <v>0</v>
      </c>
      <c r="CP6" s="13">
        <v>1.591</v>
      </c>
      <c r="CQ6" s="13">
        <v>0</v>
      </c>
      <c r="CR6" s="13">
        <v>35.567999999999998</v>
      </c>
      <c r="CS6" s="10">
        <v>52.99</v>
      </c>
      <c r="CT6" s="10">
        <v>2.5219999999999998</v>
      </c>
      <c r="CU6" s="10">
        <v>0</v>
      </c>
      <c r="CV6" s="10">
        <v>0</v>
      </c>
      <c r="CW6" s="10">
        <v>4.9089999999999998</v>
      </c>
      <c r="CX6" s="10">
        <v>11.148</v>
      </c>
      <c r="CY6" s="10">
        <v>2.4510000000000001</v>
      </c>
      <c r="CZ6" s="10">
        <v>2.931</v>
      </c>
    </row>
    <row r="7" spans="2:104" x14ac:dyDescent="0.25">
      <c r="B7" s="5" t="s">
        <v>38</v>
      </c>
      <c r="C7" s="10">
        <v>30.937999999999999</v>
      </c>
      <c r="D7" s="10">
        <v>0</v>
      </c>
      <c r="E7" s="10">
        <v>0.59899999999999998</v>
      </c>
      <c r="F7" s="10">
        <v>6.258</v>
      </c>
      <c r="G7" s="10">
        <v>0</v>
      </c>
      <c r="H7" s="10">
        <v>0</v>
      </c>
      <c r="I7" s="10">
        <v>6.3440000000000003</v>
      </c>
      <c r="J7" s="10">
        <v>23.913</v>
      </c>
      <c r="K7" s="10">
        <v>61.966000000000001</v>
      </c>
      <c r="L7" s="10">
        <v>0</v>
      </c>
      <c r="M7" s="13">
        <v>4.8310000000000004</v>
      </c>
      <c r="N7" s="13">
        <v>1.5209999999999999</v>
      </c>
      <c r="O7" s="13">
        <v>0.432</v>
      </c>
      <c r="P7" s="13">
        <v>0.26</v>
      </c>
      <c r="Q7" s="13">
        <v>0</v>
      </c>
      <c r="R7" s="13">
        <v>5.4480000000000004</v>
      </c>
      <c r="S7" s="13">
        <v>0.11600000000000001</v>
      </c>
      <c r="T7" s="13">
        <v>0</v>
      </c>
      <c r="U7" s="13">
        <v>0.75700000000000001</v>
      </c>
      <c r="V7" s="13">
        <v>2.6160000000000001</v>
      </c>
      <c r="W7" s="13">
        <v>1.74</v>
      </c>
      <c r="X7" s="13">
        <v>0</v>
      </c>
      <c r="Y7" s="13">
        <v>0</v>
      </c>
      <c r="Z7" s="13">
        <v>5.0590000000000002</v>
      </c>
      <c r="AA7" s="13">
        <v>8.5350000000000001</v>
      </c>
      <c r="AB7" s="13">
        <v>3.5</v>
      </c>
      <c r="AC7" s="13">
        <v>0.50800000000000001</v>
      </c>
      <c r="AD7" s="13">
        <v>14.403</v>
      </c>
      <c r="AE7" s="13">
        <v>0</v>
      </c>
      <c r="AF7" s="13">
        <v>0</v>
      </c>
      <c r="AG7" s="13">
        <v>4.133</v>
      </c>
      <c r="AH7" s="13">
        <v>0.61399999999999999</v>
      </c>
      <c r="AI7" s="13">
        <v>3.5550000000000002</v>
      </c>
      <c r="AJ7" s="13">
        <v>0</v>
      </c>
      <c r="AK7" s="13">
        <v>2.363</v>
      </c>
      <c r="AL7" s="13">
        <v>2.3719999999999999</v>
      </c>
      <c r="AM7" s="13">
        <v>5.5659999999999998</v>
      </c>
      <c r="AN7" s="13">
        <v>0</v>
      </c>
      <c r="AO7" s="13">
        <v>3.5939999999999999</v>
      </c>
      <c r="AP7" s="13">
        <v>2.1539999999999999</v>
      </c>
      <c r="AQ7" s="13">
        <v>14.601000000000001</v>
      </c>
      <c r="AR7" s="10">
        <v>15.523999999999999</v>
      </c>
      <c r="AS7" s="10">
        <v>18.863</v>
      </c>
      <c r="AT7" s="10">
        <v>5.7169999999999996</v>
      </c>
      <c r="AU7" s="10">
        <v>3.3439999999999999</v>
      </c>
      <c r="AV7" s="10">
        <v>15.568</v>
      </c>
      <c r="AW7" s="10">
        <v>1.423</v>
      </c>
      <c r="AX7" s="10">
        <v>0</v>
      </c>
      <c r="AY7" s="10">
        <v>1.4870000000000001</v>
      </c>
      <c r="AZ7" s="10">
        <v>12.728999999999999</v>
      </c>
      <c r="BA7" s="13">
        <v>0</v>
      </c>
      <c r="BB7" s="13">
        <v>0.84199999999999997</v>
      </c>
      <c r="BC7" s="13">
        <v>1.133</v>
      </c>
      <c r="BD7" s="13">
        <v>0</v>
      </c>
      <c r="BE7" s="13">
        <v>0.92700000000000005</v>
      </c>
      <c r="BF7" s="13">
        <v>9.7260000000000009</v>
      </c>
      <c r="BG7" s="13">
        <v>0</v>
      </c>
      <c r="BH7" s="13">
        <v>0</v>
      </c>
      <c r="BI7" s="10">
        <v>2.0099999999999998</v>
      </c>
      <c r="BJ7" s="10">
        <v>0.53</v>
      </c>
      <c r="BK7" s="10">
        <v>0</v>
      </c>
      <c r="BL7" s="13">
        <v>22.282</v>
      </c>
      <c r="BM7" s="13">
        <v>0</v>
      </c>
      <c r="BN7" s="13">
        <v>0</v>
      </c>
      <c r="BO7" s="13">
        <v>0</v>
      </c>
      <c r="BP7" s="13">
        <v>9.7219999999999995</v>
      </c>
      <c r="BQ7" s="13">
        <v>0</v>
      </c>
      <c r="BR7" s="10">
        <v>1.214</v>
      </c>
      <c r="BS7" s="10">
        <v>3.6419999999999999</v>
      </c>
      <c r="BT7" s="10">
        <v>1.87</v>
      </c>
      <c r="BU7" s="10">
        <v>0</v>
      </c>
      <c r="BV7" s="10">
        <v>0</v>
      </c>
      <c r="BW7" s="10">
        <v>0</v>
      </c>
      <c r="BX7" s="13">
        <v>0</v>
      </c>
      <c r="BY7" s="13">
        <v>0.26100000000000001</v>
      </c>
      <c r="BZ7" s="13">
        <v>0</v>
      </c>
      <c r="CA7" s="13">
        <v>37.290999999999997</v>
      </c>
      <c r="CB7" s="13">
        <v>9.0820000000000007</v>
      </c>
      <c r="CC7" s="13">
        <v>0</v>
      </c>
      <c r="CD7" s="13">
        <v>31.675000000000001</v>
      </c>
      <c r="CE7" s="13">
        <v>0</v>
      </c>
      <c r="CF7" s="13">
        <v>29.972000000000001</v>
      </c>
      <c r="CG7" s="13">
        <v>31.488</v>
      </c>
      <c r="CH7" s="13">
        <v>6.85</v>
      </c>
      <c r="CI7" s="13">
        <v>2.0470000000000002</v>
      </c>
      <c r="CJ7" s="13">
        <v>0.64400000000000002</v>
      </c>
      <c r="CK7" s="13">
        <v>0.79</v>
      </c>
      <c r="CL7" s="13">
        <v>8.9510000000000005</v>
      </c>
      <c r="CM7" s="13">
        <v>0</v>
      </c>
      <c r="CN7" s="13">
        <v>4.4109999999999996</v>
      </c>
      <c r="CO7" s="13">
        <v>0</v>
      </c>
      <c r="CP7" s="13">
        <v>4.7729999999999997</v>
      </c>
      <c r="CQ7" s="13">
        <v>0</v>
      </c>
      <c r="CR7" s="13">
        <v>14.964</v>
      </c>
      <c r="CS7" s="10">
        <v>1.3560000000000001</v>
      </c>
      <c r="CT7" s="10">
        <v>5.6310000000000002</v>
      </c>
      <c r="CU7" s="10">
        <v>0</v>
      </c>
      <c r="CV7" s="10">
        <v>0</v>
      </c>
      <c r="CW7" s="10">
        <v>2.5760000000000001</v>
      </c>
      <c r="CX7" s="10">
        <v>10.749000000000001</v>
      </c>
      <c r="CY7" s="10">
        <v>0.81699999999999995</v>
      </c>
      <c r="CZ7" s="10">
        <v>0</v>
      </c>
    </row>
    <row r="8" spans="2:104" x14ac:dyDescent="0.25">
      <c r="B8" s="5" t="s">
        <v>39</v>
      </c>
      <c r="C8" s="10">
        <v>41.232999999999997</v>
      </c>
      <c r="D8" s="10">
        <v>0</v>
      </c>
      <c r="E8" s="10">
        <v>0.59899999999999998</v>
      </c>
      <c r="F8" s="10">
        <v>3.129</v>
      </c>
      <c r="G8" s="10">
        <v>0</v>
      </c>
      <c r="H8" s="10">
        <v>0</v>
      </c>
      <c r="I8" s="10">
        <v>0</v>
      </c>
      <c r="J8" s="10">
        <v>31.722000000000001</v>
      </c>
      <c r="K8" s="10">
        <v>29.401</v>
      </c>
      <c r="L8" s="10">
        <v>54.860999999999997</v>
      </c>
      <c r="M8" s="13">
        <v>1.5209999999999999</v>
      </c>
      <c r="N8" s="13">
        <v>3.0430000000000001</v>
      </c>
      <c r="O8" s="13">
        <v>0.54700000000000004</v>
      </c>
      <c r="P8" s="13">
        <v>0.13</v>
      </c>
      <c r="Q8" s="13">
        <v>0</v>
      </c>
      <c r="R8" s="13">
        <v>4.0860000000000003</v>
      </c>
      <c r="S8" s="13">
        <v>0</v>
      </c>
      <c r="T8" s="13">
        <v>1.218</v>
      </c>
      <c r="U8" s="13">
        <v>1.5149999999999999</v>
      </c>
      <c r="V8" s="13">
        <v>2.2970000000000002</v>
      </c>
      <c r="W8" s="13">
        <v>0.57999999999999996</v>
      </c>
      <c r="X8" s="13">
        <v>1.218</v>
      </c>
      <c r="Y8" s="13">
        <v>0.84399999999999997</v>
      </c>
      <c r="Z8" s="13">
        <v>1.571</v>
      </c>
      <c r="AA8" s="13">
        <v>0</v>
      </c>
      <c r="AB8" s="13">
        <v>6.327</v>
      </c>
      <c r="AC8" s="13">
        <v>0.76200000000000001</v>
      </c>
      <c r="AD8" s="13">
        <v>15.22</v>
      </c>
      <c r="AE8" s="13">
        <v>48.441000000000003</v>
      </c>
      <c r="AF8" s="13">
        <v>0</v>
      </c>
      <c r="AG8" s="13">
        <v>5.7809999999999997</v>
      </c>
      <c r="AH8" s="13">
        <v>0</v>
      </c>
      <c r="AI8" s="13">
        <v>0</v>
      </c>
      <c r="AJ8" s="13">
        <v>1.179</v>
      </c>
      <c r="AK8" s="13">
        <v>0</v>
      </c>
      <c r="AL8" s="13">
        <v>2.363</v>
      </c>
      <c r="AM8" s="13">
        <v>4.5069999999999997</v>
      </c>
      <c r="AN8" s="13">
        <v>21.672999999999998</v>
      </c>
      <c r="AO8" s="13">
        <v>24.81</v>
      </c>
      <c r="AP8" s="13">
        <v>14.198</v>
      </c>
      <c r="AQ8" s="13">
        <v>0</v>
      </c>
      <c r="AR8" s="10">
        <v>0</v>
      </c>
      <c r="AS8" s="10">
        <v>0</v>
      </c>
      <c r="AT8" s="10">
        <v>8.5749999999999993</v>
      </c>
      <c r="AU8" s="10">
        <v>0</v>
      </c>
      <c r="AV8" s="10">
        <v>0</v>
      </c>
      <c r="AW8" s="10">
        <v>2.0680000000000001</v>
      </c>
      <c r="AX8" s="10">
        <v>0.995</v>
      </c>
      <c r="AY8" s="10">
        <v>1.4870000000000001</v>
      </c>
      <c r="AZ8" s="10">
        <v>27.934000000000001</v>
      </c>
      <c r="BA8" s="13">
        <v>0.40600000000000003</v>
      </c>
      <c r="BB8" s="13">
        <v>0.84199999999999997</v>
      </c>
      <c r="BC8" s="13">
        <v>1.133</v>
      </c>
      <c r="BD8" s="13">
        <v>0</v>
      </c>
      <c r="BE8" s="13">
        <v>1.855</v>
      </c>
      <c r="BF8" s="13">
        <v>0</v>
      </c>
      <c r="BG8" s="13">
        <v>0</v>
      </c>
      <c r="BH8" s="13">
        <v>0</v>
      </c>
      <c r="BI8" s="10">
        <v>0</v>
      </c>
      <c r="BJ8" s="10">
        <v>0</v>
      </c>
      <c r="BK8" s="10">
        <v>0</v>
      </c>
      <c r="BL8" s="13">
        <v>22.282</v>
      </c>
      <c r="BM8" s="13">
        <v>0</v>
      </c>
      <c r="BN8" s="13">
        <v>37.762999999999998</v>
      </c>
      <c r="BO8" s="13">
        <v>34.017000000000003</v>
      </c>
      <c r="BP8" s="13">
        <v>0</v>
      </c>
      <c r="BQ8" s="13">
        <v>13.231</v>
      </c>
      <c r="BR8" s="10">
        <v>1.7430000000000001</v>
      </c>
      <c r="BS8" s="10">
        <v>6.3769999999999998</v>
      </c>
      <c r="BT8" s="10">
        <v>5.4130000000000003</v>
      </c>
      <c r="BU8" s="10">
        <v>0</v>
      </c>
      <c r="BV8" s="10">
        <v>0</v>
      </c>
      <c r="BW8" s="10">
        <v>0</v>
      </c>
      <c r="BX8" s="13">
        <v>0</v>
      </c>
      <c r="BY8" s="13">
        <v>0</v>
      </c>
      <c r="BZ8" s="13">
        <v>1.9039999999999999</v>
      </c>
      <c r="CA8" s="13">
        <v>11.932</v>
      </c>
      <c r="CB8" s="13">
        <v>9.5329999999999995</v>
      </c>
      <c r="CC8" s="13">
        <v>0</v>
      </c>
      <c r="CD8" s="13">
        <v>16.297000000000001</v>
      </c>
      <c r="CE8" s="13">
        <v>0.26600000000000001</v>
      </c>
      <c r="CF8" s="13">
        <v>0</v>
      </c>
      <c r="CG8" s="13">
        <v>0</v>
      </c>
      <c r="CH8" s="13">
        <v>2.306</v>
      </c>
      <c r="CI8" s="13">
        <v>4.0949999999999998</v>
      </c>
      <c r="CJ8" s="13">
        <v>0.65400000000000003</v>
      </c>
      <c r="CK8" s="13">
        <v>0</v>
      </c>
      <c r="CL8" s="13">
        <v>4.6520000000000001</v>
      </c>
      <c r="CM8" s="13">
        <v>0</v>
      </c>
      <c r="CN8" s="13">
        <v>3.17</v>
      </c>
      <c r="CO8" s="13">
        <v>13.835000000000001</v>
      </c>
      <c r="CP8" s="13">
        <v>3.1819999999999999</v>
      </c>
      <c r="CQ8" s="13">
        <v>1.7609999999999999</v>
      </c>
      <c r="CR8" s="13">
        <v>46.036999999999999</v>
      </c>
      <c r="CS8" s="10">
        <v>0</v>
      </c>
      <c r="CT8" s="10">
        <v>0.83499999999999996</v>
      </c>
      <c r="CU8" s="10">
        <v>0</v>
      </c>
      <c r="CV8" s="10">
        <v>0.64100000000000001</v>
      </c>
      <c r="CW8" s="10">
        <v>2.6240000000000001</v>
      </c>
      <c r="CX8" s="10">
        <v>28.905999999999999</v>
      </c>
      <c r="CY8" s="10">
        <v>4.085</v>
      </c>
      <c r="CZ8" s="10">
        <v>0</v>
      </c>
    </row>
    <row r="9" spans="2:104" x14ac:dyDescent="0.25">
      <c r="B9" s="5" t="s">
        <v>40</v>
      </c>
      <c r="C9" s="10">
        <v>0</v>
      </c>
      <c r="D9" s="10">
        <v>0.58899999999999997</v>
      </c>
      <c r="E9" s="10">
        <v>2.661</v>
      </c>
      <c r="F9" s="10">
        <v>12.516</v>
      </c>
      <c r="G9" s="10">
        <v>0.24</v>
      </c>
      <c r="H9" s="10">
        <v>0</v>
      </c>
      <c r="I9" s="10">
        <v>20.571000000000002</v>
      </c>
      <c r="J9" s="10">
        <v>19.033000000000001</v>
      </c>
      <c r="K9" s="10">
        <v>62.831000000000003</v>
      </c>
      <c r="L9" s="10">
        <v>33.893999999999998</v>
      </c>
      <c r="M9" s="13">
        <v>3.0430000000000001</v>
      </c>
      <c r="N9" s="13">
        <v>3.0430000000000001</v>
      </c>
      <c r="O9" s="13">
        <v>0.13700000000000001</v>
      </c>
      <c r="P9" s="13">
        <v>0.13</v>
      </c>
      <c r="Q9" s="13">
        <v>1.325</v>
      </c>
      <c r="R9" s="13">
        <v>0</v>
      </c>
      <c r="S9" s="13">
        <v>0</v>
      </c>
      <c r="T9" s="13">
        <v>1.827</v>
      </c>
      <c r="U9" s="13">
        <v>1.5149999999999999</v>
      </c>
      <c r="V9" s="13">
        <v>1.895</v>
      </c>
      <c r="W9" s="13">
        <v>1.1599999999999999</v>
      </c>
      <c r="X9" s="13">
        <v>1.349</v>
      </c>
      <c r="Y9" s="13">
        <v>1.6890000000000001</v>
      </c>
      <c r="Z9" s="13">
        <v>4.1310000000000002</v>
      </c>
      <c r="AA9" s="13">
        <v>0</v>
      </c>
      <c r="AB9" s="13">
        <v>0</v>
      </c>
      <c r="AC9" s="13">
        <v>1.887</v>
      </c>
      <c r="AD9" s="13">
        <v>1.036</v>
      </c>
      <c r="AE9" s="13">
        <v>3.161</v>
      </c>
      <c r="AF9" s="13">
        <v>2.5510000000000002</v>
      </c>
      <c r="AG9" s="13">
        <v>7.726</v>
      </c>
      <c r="AH9" s="13">
        <v>0</v>
      </c>
      <c r="AI9" s="13">
        <v>0</v>
      </c>
      <c r="AJ9" s="13">
        <v>0</v>
      </c>
      <c r="AK9" s="13">
        <v>4.4669999999999996</v>
      </c>
      <c r="AL9" s="13">
        <v>0</v>
      </c>
      <c r="AM9" s="13">
        <v>17.754999999999999</v>
      </c>
      <c r="AN9" s="13">
        <v>0</v>
      </c>
      <c r="AO9" s="13">
        <v>3.08</v>
      </c>
      <c r="AP9" s="13">
        <v>13.88</v>
      </c>
      <c r="AQ9" s="13">
        <v>14.145</v>
      </c>
      <c r="AR9" s="10">
        <v>20.686</v>
      </c>
      <c r="AS9" s="10">
        <v>0</v>
      </c>
      <c r="AT9" s="10">
        <v>5.7169999999999996</v>
      </c>
      <c r="AU9" s="10">
        <v>0</v>
      </c>
      <c r="AV9" s="10">
        <v>0</v>
      </c>
      <c r="AW9" s="10">
        <v>1.665</v>
      </c>
      <c r="AX9" s="10">
        <v>1.077</v>
      </c>
      <c r="AY9" s="10">
        <v>1.4870000000000001</v>
      </c>
      <c r="AZ9" s="10">
        <v>20.95</v>
      </c>
      <c r="BA9" s="13">
        <v>0.79900000000000004</v>
      </c>
      <c r="BB9" s="13">
        <v>0</v>
      </c>
      <c r="BC9" s="13">
        <v>1.133</v>
      </c>
      <c r="BD9" s="13">
        <v>1.081</v>
      </c>
      <c r="BE9" s="13">
        <v>0.92700000000000005</v>
      </c>
      <c r="BF9" s="13">
        <v>0</v>
      </c>
      <c r="BG9" s="13">
        <v>2.2109999999999999</v>
      </c>
      <c r="BH9" s="13">
        <v>2.2919999999999998</v>
      </c>
      <c r="BI9" s="10">
        <v>15.676</v>
      </c>
      <c r="BJ9" s="10">
        <v>0</v>
      </c>
      <c r="BK9" s="10">
        <v>4.9539999999999997</v>
      </c>
      <c r="BL9" s="13">
        <v>0</v>
      </c>
      <c r="BM9" s="13">
        <v>8.0760000000000005</v>
      </c>
      <c r="BN9" s="13">
        <v>13.358000000000001</v>
      </c>
      <c r="BO9" s="13">
        <v>0</v>
      </c>
      <c r="BP9" s="13">
        <v>37.97</v>
      </c>
      <c r="BQ9" s="13">
        <v>0</v>
      </c>
      <c r="BR9" s="10">
        <v>1.0209999999999999</v>
      </c>
      <c r="BS9" s="10">
        <v>6.3769999999999998</v>
      </c>
      <c r="BT9" s="10">
        <v>0</v>
      </c>
      <c r="BU9" s="10">
        <v>0</v>
      </c>
      <c r="BV9" s="10">
        <v>0</v>
      </c>
      <c r="BW9" s="10">
        <v>5.8769999999999998</v>
      </c>
      <c r="BX9" s="13">
        <v>1.28</v>
      </c>
      <c r="BY9" s="13">
        <v>0</v>
      </c>
      <c r="BZ9" s="13">
        <v>11.673</v>
      </c>
      <c r="CA9" s="13">
        <v>0</v>
      </c>
      <c r="CB9" s="13">
        <v>1.863</v>
      </c>
      <c r="CC9" s="13">
        <v>0</v>
      </c>
      <c r="CD9" s="13">
        <v>32.545999999999999</v>
      </c>
      <c r="CE9" s="13">
        <v>27.66</v>
      </c>
      <c r="CF9" s="13">
        <v>31.724</v>
      </c>
      <c r="CG9" s="13">
        <v>0</v>
      </c>
      <c r="CH9" s="13">
        <v>2.6179999999999999</v>
      </c>
      <c r="CI9" s="13">
        <v>6.1420000000000003</v>
      </c>
      <c r="CJ9" s="13">
        <v>1.6279999999999999</v>
      </c>
      <c r="CK9" s="13">
        <v>5.8029999999999999</v>
      </c>
      <c r="CL9" s="13">
        <v>0</v>
      </c>
      <c r="CM9" s="13">
        <v>4.117</v>
      </c>
      <c r="CN9" s="13">
        <v>6.34</v>
      </c>
      <c r="CO9" s="13">
        <v>13.835000000000001</v>
      </c>
      <c r="CP9" s="13">
        <v>1.8080000000000001</v>
      </c>
      <c r="CQ9" s="13">
        <v>0</v>
      </c>
      <c r="CR9" s="13">
        <v>17.555</v>
      </c>
      <c r="CS9" s="10">
        <v>5.0490000000000004</v>
      </c>
      <c r="CT9" s="10">
        <v>1.4079999999999999</v>
      </c>
      <c r="CU9" s="10">
        <v>0</v>
      </c>
      <c r="CV9" s="10">
        <v>0</v>
      </c>
      <c r="CW9" s="10">
        <v>21.542000000000002</v>
      </c>
      <c r="CX9" s="10">
        <v>8.68</v>
      </c>
      <c r="CY9" s="10">
        <v>1.6339999999999999</v>
      </c>
      <c r="CZ9" s="10">
        <v>0.47599999999999998</v>
      </c>
    </row>
    <row r="10" spans="2:104" x14ac:dyDescent="0.25">
      <c r="B10" s="5" t="s">
        <v>125</v>
      </c>
      <c r="C10" s="10">
        <v>0</v>
      </c>
      <c r="D10" s="10">
        <v>0</v>
      </c>
      <c r="E10" s="10">
        <v>1.331</v>
      </c>
      <c r="F10" s="10">
        <v>0</v>
      </c>
      <c r="G10" s="10">
        <v>0.24</v>
      </c>
      <c r="H10" s="10">
        <v>0</v>
      </c>
      <c r="I10" s="10">
        <v>5.1660000000000004</v>
      </c>
      <c r="J10" s="10">
        <v>19.033000000000001</v>
      </c>
      <c r="K10" s="10">
        <v>0</v>
      </c>
      <c r="L10" s="10">
        <v>16.946999999999999</v>
      </c>
      <c r="M10" s="13">
        <v>3.0430000000000001</v>
      </c>
      <c r="N10" s="13">
        <v>0.67800000000000005</v>
      </c>
      <c r="O10" s="13">
        <v>0.27300000000000002</v>
      </c>
      <c r="P10" s="13">
        <v>0.64900000000000002</v>
      </c>
      <c r="Q10" s="13">
        <v>1.325</v>
      </c>
      <c r="R10" s="13">
        <v>4.0860000000000003</v>
      </c>
      <c r="S10" s="13">
        <v>0</v>
      </c>
      <c r="T10" s="13">
        <v>2.7829999999999999</v>
      </c>
      <c r="U10" s="13">
        <v>2.2719999999999998</v>
      </c>
      <c r="V10" s="13">
        <v>2.343</v>
      </c>
      <c r="W10" s="13">
        <v>2.3199999999999998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0.47199999999999998</v>
      </c>
      <c r="AD10" s="13">
        <v>6.9139999999999997</v>
      </c>
      <c r="AE10" s="13">
        <v>35.988999999999997</v>
      </c>
      <c r="AF10" s="13">
        <v>13.157</v>
      </c>
      <c r="AG10" s="13">
        <v>6.4409999999999998</v>
      </c>
      <c r="AH10" s="13">
        <v>0.61399999999999999</v>
      </c>
      <c r="AI10" s="13">
        <v>0</v>
      </c>
      <c r="AJ10" s="13">
        <v>4.7149999999999999</v>
      </c>
      <c r="AK10" s="13">
        <v>0.78800000000000003</v>
      </c>
      <c r="AL10" s="13">
        <v>4.4669999999999996</v>
      </c>
      <c r="AM10" s="13">
        <v>11.131</v>
      </c>
      <c r="AN10" s="13">
        <v>14.903</v>
      </c>
      <c r="AO10" s="13">
        <v>8.3629999999999995</v>
      </c>
      <c r="AP10" s="13">
        <v>4.6269999999999998</v>
      </c>
      <c r="AQ10" s="13">
        <v>0</v>
      </c>
      <c r="AR10" s="10">
        <v>1.964</v>
      </c>
      <c r="AS10" s="10">
        <v>16.645</v>
      </c>
      <c r="AT10" s="10">
        <v>5.7169999999999996</v>
      </c>
      <c r="AU10" s="10">
        <v>2.7759999999999998</v>
      </c>
      <c r="AV10" s="10">
        <v>9.0640000000000001</v>
      </c>
      <c r="AW10" s="10">
        <v>0.61099999999999999</v>
      </c>
      <c r="AX10" s="10">
        <v>0.35899999999999999</v>
      </c>
      <c r="AY10" s="10">
        <v>7.4349999999999996</v>
      </c>
      <c r="AZ10" s="10">
        <v>7.4039999999999999</v>
      </c>
      <c r="BA10" s="13">
        <v>0.60899999999999999</v>
      </c>
      <c r="BB10" s="13">
        <v>0.96199999999999997</v>
      </c>
      <c r="BC10" s="13">
        <v>0</v>
      </c>
      <c r="BD10" s="13">
        <v>0.54100000000000004</v>
      </c>
      <c r="BE10" s="13">
        <v>3.7090000000000001</v>
      </c>
      <c r="BF10" s="13">
        <v>4.8630000000000004</v>
      </c>
      <c r="BG10" s="13">
        <v>0</v>
      </c>
      <c r="BH10" s="13">
        <v>2.2919999999999998</v>
      </c>
      <c r="BI10" s="10">
        <v>0</v>
      </c>
      <c r="BJ10" s="10">
        <v>0</v>
      </c>
      <c r="BK10" s="10">
        <v>5.3410000000000002</v>
      </c>
      <c r="BL10" s="13">
        <v>1.841</v>
      </c>
      <c r="BM10" s="13">
        <v>0</v>
      </c>
      <c r="BN10" s="13">
        <v>0</v>
      </c>
      <c r="BO10" s="13">
        <v>8.0419999999999998</v>
      </c>
      <c r="BP10" s="13">
        <v>28.478000000000002</v>
      </c>
      <c r="BQ10" s="13">
        <v>0</v>
      </c>
      <c r="BR10" s="10">
        <v>0.34100000000000003</v>
      </c>
      <c r="BS10" s="10">
        <v>0</v>
      </c>
      <c r="BT10" s="10">
        <v>0</v>
      </c>
      <c r="BU10" s="10">
        <v>3.64</v>
      </c>
      <c r="BV10" s="10">
        <v>0</v>
      </c>
      <c r="BW10" s="10">
        <v>0</v>
      </c>
      <c r="BX10" s="13">
        <v>0.42699999999999999</v>
      </c>
      <c r="BY10" s="13">
        <v>0.70399999999999996</v>
      </c>
      <c r="BZ10" s="13">
        <v>0</v>
      </c>
      <c r="CA10" s="13">
        <v>27.349</v>
      </c>
      <c r="CB10" s="13">
        <v>15.426</v>
      </c>
      <c r="CC10" s="13">
        <v>0</v>
      </c>
      <c r="CD10" s="13">
        <v>16.273</v>
      </c>
      <c r="CE10" s="13">
        <v>8.9280000000000008</v>
      </c>
      <c r="CF10" s="13">
        <v>22.713999999999999</v>
      </c>
      <c r="CG10" s="13">
        <v>8.1929999999999996</v>
      </c>
      <c r="CH10" s="13">
        <v>3.7080000000000002</v>
      </c>
      <c r="CI10" s="13">
        <v>2.0470000000000002</v>
      </c>
      <c r="CJ10" s="13">
        <v>1.9259999999999999</v>
      </c>
      <c r="CK10" s="13">
        <v>7.6539999999999999</v>
      </c>
      <c r="CL10" s="13">
        <v>0</v>
      </c>
      <c r="CM10" s="13">
        <v>3.8839999999999999</v>
      </c>
      <c r="CN10" s="13">
        <v>1.514</v>
      </c>
      <c r="CO10" s="13">
        <v>7.5750000000000002</v>
      </c>
      <c r="CP10" s="13">
        <v>0</v>
      </c>
      <c r="CQ10" s="13">
        <v>8.8059999999999992</v>
      </c>
      <c r="CR10" s="13">
        <v>7.6369999999999996</v>
      </c>
      <c r="CS10" s="10">
        <v>44.564</v>
      </c>
      <c r="CT10" s="10">
        <v>0</v>
      </c>
      <c r="CU10" s="10">
        <v>1.573</v>
      </c>
      <c r="CV10" s="10">
        <v>1.282</v>
      </c>
      <c r="CW10" s="10">
        <v>8.98</v>
      </c>
      <c r="CX10" s="10">
        <v>9.0779999999999994</v>
      </c>
      <c r="CY10" s="10">
        <v>0</v>
      </c>
      <c r="CZ10" s="10">
        <v>0.47599999999999998</v>
      </c>
    </row>
    <row r="11" spans="2:104" x14ac:dyDescent="0.25">
      <c r="B11" s="5" t="s">
        <v>41</v>
      </c>
      <c r="C11" s="10">
        <v>0</v>
      </c>
      <c r="D11" s="10">
        <v>6.3659999999999997</v>
      </c>
      <c r="E11" s="10">
        <v>0.66500000000000004</v>
      </c>
      <c r="F11" s="10">
        <v>11.631</v>
      </c>
      <c r="G11" s="10">
        <v>0.72</v>
      </c>
      <c r="H11" s="10">
        <v>0</v>
      </c>
      <c r="I11" s="10">
        <v>8.1940000000000008</v>
      </c>
      <c r="J11" s="10">
        <v>6.3440000000000003</v>
      </c>
      <c r="K11" s="10">
        <v>33.981000000000002</v>
      </c>
      <c r="L11" s="10">
        <v>0</v>
      </c>
      <c r="M11" s="13">
        <v>0.67800000000000005</v>
      </c>
      <c r="N11" s="13">
        <v>1.3879999999999999</v>
      </c>
      <c r="O11" s="13">
        <v>0.27300000000000002</v>
      </c>
      <c r="P11" s="13">
        <v>0.38</v>
      </c>
      <c r="Q11" s="13">
        <v>2.1800000000000002</v>
      </c>
      <c r="R11" s="13">
        <v>0</v>
      </c>
      <c r="S11" s="13">
        <v>0</v>
      </c>
      <c r="T11" s="13">
        <v>3.4790000000000001</v>
      </c>
      <c r="U11" s="13">
        <v>3.03</v>
      </c>
      <c r="V11" s="13">
        <v>1.0249999999999999</v>
      </c>
      <c r="W11" s="13">
        <v>2.4529999999999998</v>
      </c>
      <c r="X11" s="13">
        <v>1.349</v>
      </c>
      <c r="Y11" s="13">
        <v>0.42199999999999999</v>
      </c>
      <c r="Z11" s="13">
        <v>6.2859999999999996</v>
      </c>
      <c r="AA11" s="13">
        <v>2.7730000000000001</v>
      </c>
      <c r="AB11" s="13">
        <v>3.99</v>
      </c>
      <c r="AC11" s="13">
        <v>1.415</v>
      </c>
      <c r="AD11" s="13">
        <v>3.915</v>
      </c>
      <c r="AE11" s="13">
        <v>0</v>
      </c>
      <c r="AF11" s="13">
        <v>22.847000000000001</v>
      </c>
      <c r="AG11" s="13">
        <v>5.8019999999999996</v>
      </c>
      <c r="AH11" s="13">
        <v>1.228</v>
      </c>
      <c r="AI11" s="13">
        <v>0</v>
      </c>
      <c r="AJ11" s="13">
        <v>7.2839999999999998</v>
      </c>
      <c r="AK11" s="13">
        <v>1.159</v>
      </c>
      <c r="AL11" s="13">
        <v>0.78800000000000003</v>
      </c>
      <c r="AM11" s="13">
        <v>5.2060000000000004</v>
      </c>
      <c r="AN11" s="13">
        <v>0</v>
      </c>
      <c r="AO11" s="13">
        <v>1.764</v>
      </c>
      <c r="AP11" s="13">
        <v>8.1280000000000001</v>
      </c>
      <c r="AQ11" s="13">
        <v>0.88900000000000001</v>
      </c>
      <c r="AR11" s="10">
        <v>0</v>
      </c>
      <c r="AS11" s="10">
        <v>24.968</v>
      </c>
      <c r="AT11" s="10">
        <v>2.8580000000000001</v>
      </c>
      <c r="AU11" s="10">
        <v>5.5519999999999996</v>
      </c>
      <c r="AV11" s="10">
        <v>0</v>
      </c>
      <c r="AW11" s="10">
        <v>0.84599999999999997</v>
      </c>
      <c r="AX11" s="10">
        <v>0.71799999999999997</v>
      </c>
      <c r="AY11" s="10">
        <v>1.4870000000000001</v>
      </c>
      <c r="AZ11" s="10">
        <v>20.95</v>
      </c>
      <c r="BA11" s="13">
        <v>0.66200000000000003</v>
      </c>
      <c r="BB11" s="13">
        <v>0</v>
      </c>
      <c r="BC11" s="13">
        <v>1.2949999999999999</v>
      </c>
      <c r="BD11" s="13">
        <v>1.042</v>
      </c>
      <c r="BE11" s="13">
        <v>0.92700000000000005</v>
      </c>
      <c r="BF11" s="13">
        <v>2.431</v>
      </c>
      <c r="BG11" s="13">
        <v>3.621</v>
      </c>
      <c r="BH11" s="13">
        <v>4.5839999999999996</v>
      </c>
      <c r="BI11" s="10">
        <v>0</v>
      </c>
      <c r="BJ11" s="10">
        <v>4.867</v>
      </c>
      <c r="BK11" s="10">
        <v>2.6280000000000001</v>
      </c>
      <c r="BL11" s="13">
        <v>0</v>
      </c>
      <c r="BM11" s="13">
        <v>0</v>
      </c>
      <c r="BN11" s="13">
        <v>37.762999999999998</v>
      </c>
      <c r="BO11" s="13">
        <v>22.678000000000001</v>
      </c>
      <c r="BP11" s="13">
        <v>18.984999999999999</v>
      </c>
      <c r="BQ11" s="13">
        <v>15.704000000000001</v>
      </c>
      <c r="BR11" s="10">
        <v>0</v>
      </c>
      <c r="BS11" s="10">
        <v>4.2519999999999998</v>
      </c>
      <c r="BT11" s="10">
        <v>3.6419999999999999</v>
      </c>
      <c r="BU11" s="10">
        <v>0</v>
      </c>
      <c r="BV11" s="10">
        <v>3.23</v>
      </c>
      <c r="BW11" s="10">
        <v>11.754</v>
      </c>
      <c r="BX11" s="13">
        <v>0.85299999999999998</v>
      </c>
      <c r="BY11" s="13">
        <v>0.61599999999999999</v>
      </c>
      <c r="BZ11" s="13">
        <v>11.061</v>
      </c>
      <c r="CA11" s="13">
        <v>8.4499999999999993</v>
      </c>
      <c r="CB11" s="13">
        <v>9.5630000000000006</v>
      </c>
      <c r="CC11" s="13">
        <v>15.457000000000001</v>
      </c>
      <c r="CD11" s="13">
        <v>0</v>
      </c>
      <c r="CE11" s="13">
        <v>0</v>
      </c>
      <c r="CF11" s="13">
        <v>0</v>
      </c>
      <c r="CG11" s="13">
        <v>0</v>
      </c>
      <c r="CH11" s="13">
        <v>4.0419999999999998</v>
      </c>
      <c r="CI11" s="13">
        <v>0</v>
      </c>
      <c r="CJ11" s="13">
        <v>2.593</v>
      </c>
      <c r="CK11" s="13">
        <v>0</v>
      </c>
      <c r="CL11" s="13">
        <v>4.5359999999999996</v>
      </c>
      <c r="CM11" s="13">
        <v>8.234</v>
      </c>
      <c r="CN11" s="13">
        <v>0</v>
      </c>
      <c r="CO11" s="13">
        <v>7.03</v>
      </c>
      <c r="CP11" s="13">
        <v>5.423</v>
      </c>
      <c r="CQ11" s="13">
        <v>2.657</v>
      </c>
      <c r="CR11" s="13">
        <v>28.388999999999999</v>
      </c>
      <c r="CS11" s="10">
        <v>9.657</v>
      </c>
      <c r="CT11" s="10">
        <v>0.56100000000000005</v>
      </c>
      <c r="CU11" s="10">
        <v>0</v>
      </c>
      <c r="CV11" s="10">
        <v>0</v>
      </c>
      <c r="CW11" s="10">
        <v>6.4550000000000001</v>
      </c>
      <c r="CX11" s="10">
        <v>0</v>
      </c>
      <c r="CY11" s="10">
        <v>1.59</v>
      </c>
      <c r="CZ11" s="10">
        <v>1.903</v>
      </c>
    </row>
    <row r="12" spans="2:104" x14ac:dyDescent="0.25">
      <c r="B12" s="5" t="s">
        <v>124</v>
      </c>
      <c r="C12" s="10">
        <v>10.537000000000001</v>
      </c>
      <c r="D12" s="10">
        <v>6.3659999999999997</v>
      </c>
      <c r="E12" s="10">
        <v>0.66500000000000004</v>
      </c>
      <c r="F12" s="10">
        <v>0</v>
      </c>
      <c r="G12" s="10">
        <v>0</v>
      </c>
      <c r="H12" s="10">
        <v>0</v>
      </c>
      <c r="I12" s="10">
        <v>15.401</v>
      </c>
      <c r="J12" s="10">
        <v>0</v>
      </c>
      <c r="K12" s="10">
        <v>34.159999999999997</v>
      </c>
      <c r="L12" s="10">
        <v>15.513999999999999</v>
      </c>
      <c r="M12" s="13">
        <v>1.3879999999999999</v>
      </c>
      <c r="N12" s="13">
        <v>2.1</v>
      </c>
      <c r="O12" s="13">
        <v>0.41</v>
      </c>
      <c r="P12" s="13">
        <v>0.19</v>
      </c>
      <c r="Q12" s="13">
        <v>0</v>
      </c>
      <c r="R12" s="13">
        <v>1.238</v>
      </c>
      <c r="S12" s="13">
        <v>0</v>
      </c>
      <c r="T12" s="13">
        <v>0</v>
      </c>
      <c r="U12" s="13">
        <v>0.94699999999999995</v>
      </c>
      <c r="V12" s="13">
        <v>1.0249999999999999</v>
      </c>
      <c r="W12" s="13">
        <v>1.84</v>
      </c>
      <c r="X12" s="13">
        <v>0</v>
      </c>
      <c r="Y12" s="13">
        <v>0.42199999999999999</v>
      </c>
      <c r="Z12" s="13">
        <v>4.0220000000000002</v>
      </c>
      <c r="AA12" s="13">
        <v>6.9610000000000003</v>
      </c>
      <c r="AB12" s="13">
        <v>0</v>
      </c>
      <c r="AC12" s="13">
        <v>0.85299999999999998</v>
      </c>
      <c r="AD12" s="13">
        <v>10.909000000000001</v>
      </c>
      <c r="AE12" s="13">
        <v>18.268000000000001</v>
      </c>
      <c r="AF12" s="13">
        <v>0</v>
      </c>
      <c r="AG12" s="13">
        <v>0</v>
      </c>
      <c r="AH12" s="13">
        <v>0.76100000000000001</v>
      </c>
      <c r="AI12" s="13">
        <v>0</v>
      </c>
      <c r="AJ12" s="13">
        <v>0</v>
      </c>
      <c r="AK12" s="13">
        <v>0.78800000000000003</v>
      </c>
      <c r="AL12" s="13">
        <v>1.159</v>
      </c>
      <c r="AM12" s="13">
        <v>10.704000000000001</v>
      </c>
      <c r="AN12" s="13">
        <v>0</v>
      </c>
      <c r="AO12" s="13">
        <v>7.8659999999999997</v>
      </c>
      <c r="AP12" s="13">
        <v>8.1280000000000001</v>
      </c>
      <c r="AQ12" s="13">
        <v>12.557</v>
      </c>
      <c r="AR12" s="10">
        <v>9.3339999999999996</v>
      </c>
      <c r="AS12" s="10">
        <v>15.045999999999999</v>
      </c>
      <c r="AT12" s="10">
        <v>3.702</v>
      </c>
      <c r="AU12" s="10">
        <v>2.7759999999999998</v>
      </c>
      <c r="AV12" s="10">
        <v>6.0430000000000001</v>
      </c>
      <c r="AW12" s="10">
        <v>4.37</v>
      </c>
      <c r="AX12" s="10">
        <v>0</v>
      </c>
      <c r="AY12" s="10">
        <v>2.3090000000000002</v>
      </c>
      <c r="AZ12" s="10">
        <v>6.5629999999999997</v>
      </c>
      <c r="BA12" s="13">
        <v>0.68600000000000005</v>
      </c>
      <c r="BB12" s="13">
        <v>0</v>
      </c>
      <c r="BC12" s="13">
        <v>0.161</v>
      </c>
      <c r="BD12" s="13">
        <v>0</v>
      </c>
      <c r="BE12" s="13">
        <v>0.86899999999999999</v>
      </c>
      <c r="BF12" s="13">
        <v>5.7359999999999998</v>
      </c>
      <c r="BG12" s="13">
        <v>3.621</v>
      </c>
      <c r="BH12" s="13">
        <v>1.4259999999999999</v>
      </c>
      <c r="BI12" s="10">
        <v>7.851</v>
      </c>
      <c r="BJ12" s="10">
        <v>14.6</v>
      </c>
      <c r="BK12" s="10">
        <v>4.7530000000000001</v>
      </c>
      <c r="BL12" s="13">
        <v>9.798</v>
      </c>
      <c r="BM12" s="13">
        <v>16.154</v>
      </c>
      <c r="BN12" s="13">
        <v>0</v>
      </c>
      <c r="BO12" s="13">
        <v>19.381</v>
      </c>
      <c r="BP12" s="13">
        <v>7.0030000000000001</v>
      </c>
      <c r="BQ12" s="13">
        <v>0</v>
      </c>
      <c r="BR12" s="10">
        <v>1.01</v>
      </c>
      <c r="BS12" s="10">
        <v>2.1259999999999999</v>
      </c>
      <c r="BT12" s="10">
        <v>6.3769999999999998</v>
      </c>
      <c r="BU12" s="10">
        <v>0</v>
      </c>
      <c r="BV12" s="10">
        <v>6.46</v>
      </c>
      <c r="BW12" s="10">
        <v>2.9119999999999999</v>
      </c>
      <c r="BX12" s="13">
        <v>0.42699999999999999</v>
      </c>
      <c r="BY12" s="13">
        <v>0</v>
      </c>
      <c r="BZ12" s="13">
        <v>4.931</v>
      </c>
      <c r="CA12" s="13">
        <v>0.40200000000000002</v>
      </c>
      <c r="CB12" s="13">
        <v>32.271000000000001</v>
      </c>
      <c r="CC12" s="13">
        <v>0</v>
      </c>
      <c r="CD12" s="13">
        <v>0</v>
      </c>
      <c r="CE12" s="13">
        <v>26.783000000000001</v>
      </c>
      <c r="CF12" s="13">
        <v>31.986999999999998</v>
      </c>
      <c r="CG12" s="13">
        <v>18.405999999999999</v>
      </c>
      <c r="CH12" s="13">
        <v>3.2010000000000001</v>
      </c>
      <c r="CI12" s="13">
        <v>4.8170000000000002</v>
      </c>
      <c r="CJ12" s="13">
        <v>0.35899999999999999</v>
      </c>
      <c r="CK12" s="13">
        <v>0</v>
      </c>
      <c r="CL12" s="13">
        <v>0.754</v>
      </c>
      <c r="CM12" s="13">
        <v>0.74299999999999999</v>
      </c>
      <c r="CN12" s="13">
        <v>0</v>
      </c>
      <c r="CO12" s="13">
        <v>4.0369999999999999</v>
      </c>
      <c r="CP12" s="13">
        <v>5.423</v>
      </c>
      <c r="CQ12" s="13">
        <v>0</v>
      </c>
      <c r="CR12" s="13">
        <v>1.48</v>
      </c>
      <c r="CS12" s="10">
        <v>0</v>
      </c>
      <c r="CT12" s="10">
        <v>0</v>
      </c>
      <c r="CU12" s="10">
        <v>1.625</v>
      </c>
      <c r="CV12" s="10">
        <v>0.995</v>
      </c>
      <c r="CW12" s="10">
        <v>3.4020000000000001</v>
      </c>
      <c r="CX12" s="10">
        <v>9.3350000000000009</v>
      </c>
      <c r="CY12" s="10">
        <v>0.79500000000000004</v>
      </c>
      <c r="CZ12" s="10">
        <v>0.95099999999999996</v>
      </c>
    </row>
    <row r="13" spans="2:104" x14ac:dyDescent="0.25">
      <c r="B13" s="5" t="s">
        <v>42</v>
      </c>
      <c r="C13" s="10">
        <v>251.58500000000001</v>
      </c>
      <c r="D13" s="10">
        <v>4.665</v>
      </c>
      <c r="E13" s="10">
        <v>0</v>
      </c>
      <c r="F13" s="10">
        <v>5.8159999999999998</v>
      </c>
      <c r="G13" s="10">
        <v>0</v>
      </c>
      <c r="H13" s="10">
        <v>0</v>
      </c>
      <c r="I13" s="10">
        <v>11.707000000000001</v>
      </c>
      <c r="J13" s="10">
        <v>20.571000000000002</v>
      </c>
      <c r="K13" s="10">
        <v>48.197000000000003</v>
      </c>
      <c r="L13" s="10">
        <v>25.922000000000001</v>
      </c>
      <c r="M13" s="13">
        <v>2.1</v>
      </c>
      <c r="N13" s="13">
        <v>6.26</v>
      </c>
      <c r="O13" s="13">
        <v>0.371</v>
      </c>
      <c r="P13" s="13">
        <v>0.76</v>
      </c>
      <c r="Q13" s="13">
        <v>0</v>
      </c>
      <c r="R13" s="13">
        <v>0</v>
      </c>
      <c r="S13" s="13">
        <v>0</v>
      </c>
      <c r="T13" s="13">
        <v>1.7729999999999999</v>
      </c>
      <c r="U13" s="13">
        <v>0.82299999999999995</v>
      </c>
      <c r="V13" s="13">
        <v>2.0499999999999998</v>
      </c>
      <c r="W13" s="13">
        <v>1.84</v>
      </c>
      <c r="X13" s="13">
        <v>0.67400000000000004</v>
      </c>
      <c r="Y13" s="13">
        <v>0.499</v>
      </c>
      <c r="Z13" s="13">
        <v>3.1429999999999998</v>
      </c>
      <c r="AA13" s="13">
        <v>0</v>
      </c>
      <c r="AB13" s="13">
        <v>12.118</v>
      </c>
      <c r="AC13" s="13">
        <v>0.86499999999999999</v>
      </c>
      <c r="AD13" s="13">
        <v>0</v>
      </c>
      <c r="AE13" s="13">
        <v>11.579000000000001</v>
      </c>
      <c r="AF13" s="13">
        <v>0.88500000000000001</v>
      </c>
      <c r="AG13" s="13">
        <v>24.635999999999999</v>
      </c>
      <c r="AH13" s="13">
        <v>0.38</v>
      </c>
      <c r="AI13" s="13">
        <v>3.4529999999999998</v>
      </c>
      <c r="AJ13" s="13">
        <v>4.0960000000000001</v>
      </c>
      <c r="AK13" s="13">
        <v>0</v>
      </c>
      <c r="AL13" s="13">
        <v>0.78800000000000003</v>
      </c>
      <c r="AM13" s="13">
        <v>24.917999999999999</v>
      </c>
      <c r="AN13" s="13">
        <v>0</v>
      </c>
      <c r="AO13" s="13">
        <v>6.4210000000000003</v>
      </c>
      <c r="AP13" s="13">
        <v>10.401999999999999</v>
      </c>
      <c r="AQ13" s="13">
        <v>0</v>
      </c>
      <c r="AR13" s="10">
        <v>2.7250000000000001</v>
      </c>
      <c r="AS13" s="10">
        <v>0</v>
      </c>
      <c r="AT13" s="10">
        <v>7.4039999999999999</v>
      </c>
      <c r="AU13" s="10">
        <v>2.7759999999999998</v>
      </c>
      <c r="AV13" s="10">
        <v>2.903</v>
      </c>
      <c r="AW13" s="10">
        <v>1.35</v>
      </c>
      <c r="AX13" s="10">
        <v>1.4359999999999999</v>
      </c>
      <c r="AY13" s="10">
        <v>2.3090000000000002</v>
      </c>
      <c r="AZ13" s="10">
        <v>13.115</v>
      </c>
      <c r="BA13" s="13">
        <v>3.5790000000000002</v>
      </c>
      <c r="BB13" s="13">
        <v>1.099</v>
      </c>
      <c r="BC13" s="13">
        <v>0</v>
      </c>
      <c r="BD13" s="13">
        <v>0.52100000000000002</v>
      </c>
      <c r="BE13" s="13">
        <v>1.304</v>
      </c>
      <c r="BF13" s="13">
        <v>0</v>
      </c>
      <c r="BG13" s="13">
        <v>0</v>
      </c>
      <c r="BH13" s="13">
        <v>1.9810000000000001</v>
      </c>
      <c r="BI13" s="10">
        <v>0</v>
      </c>
      <c r="BJ13" s="10">
        <v>4.867</v>
      </c>
      <c r="BK13" s="10">
        <v>0</v>
      </c>
      <c r="BL13" s="13">
        <v>0</v>
      </c>
      <c r="BM13" s="13">
        <v>18.919</v>
      </c>
      <c r="BN13" s="13">
        <v>0</v>
      </c>
      <c r="BO13" s="13">
        <v>0</v>
      </c>
      <c r="BP13" s="13">
        <v>21.696999999999999</v>
      </c>
      <c r="BQ13" s="13">
        <v>0</v>
      </c>
      <c r="BR13" s="10">
        <v>1.01</v>
      </c>
      <c r="BS13" s="10">
        <v>0</v>
      </c>
      <c r="BT13" s="10">
        <v>6.3769999999999998</v>
      </c>
      <c r="BU13" s="10">
        <v>3.64</v>
      </c>
      <c r="BV13" s="10">
        <v>0</v>
      </c>
      <c r="BW13" s="10">
        <v>5.8239999999999998</v>
      </c>
      <c r="BX13" s="13">
        <v>0.28100000000000003</v>
      </c>
      <c r="BY13" s="13">
        <v>0</v>
      </c>
      <c r="BZ13" s="13">
        <v>0.27800000000000002</v>
      </c>
      <c r="CA13" s="13">
        <v>39.850999999999999</v>
      </c>
      <c r="CB13" s="13">
        <v>25.152000000000001</v>
      </c>
      <c r="CC13" s="13">
        <v>11.51</v>
      </c>
      <c r="CD13" s="13">
        <v>47.220999999999997</v>
      </c>
      <c r="CE13" s="13">
        <v>29.408999999999999</v>
      </c>
      <c r="CF13" s="13">
        <v>1.7989999999999999</v>
      </c>
      <c r="CG13" s="13">
        <v>18.405999999999999</v>
      </c>
      <c r="CH13" s="13">
        <v>1.897</v>
      </c>
      <c r="CI13" s="13">
        <v>1.272</v>
      </c>
      <c r="CJ13" s="13">
        <v>2.9049999999999998</v>
      </c>
      <c r="CK13" s="13">
        <v>11.833</v>
      </c>
      <c r="CL13" s="13">
        <v>0.57499999999999996</v>
      </c>
      <c r="CM13" s="13">
        <v>4.09</v>
      </c>
      <c r="CN13" s="13">
        <v>2.6850000000000001</v>
      </c>
      <c r="CO13" s="13">
        <v>12.112</v>
      </c>
      <c r="CP13" s="13">
        <v>5.423</v>
      </c>
      <c r="CQ13" s="13">
        <v>2.657</v>
      </c>
      <c r="CR13" s="13">
        <v>13.381</v>
      </c>
      <c r="CS13" s="10">
        <v>17.562999999999999</v>
      </c>
      <c r="CT13" s="10">
        <v>10.89</v>
      </c>
      <c r="CU13" s="10">
        <v>3.415</v>
      </c>
      <c r="CV13" s="10">
        <v>0.995</v>
      </c>
      <c r="CW13" s="10">
        <v>8.5890000000000004</v>
      </c>
      <c r="CX13" s="10">
        <v>0</v>
      </c>
      <c r="CY13" s="10">
        <v>0.79500000000000004</v>
      </c>
      <c r="CZ13" s="10">
        <v>0</v>
      </c>
    </row>
    <row r="14" spans="2:104" x14ac:dyDescent="0.25">
      <c r="B14" s="5" t="s">
        <v>43</v>
      </c>
      <c r="C14" s="10">
        <v>17.835999999999999</v>
      </c>
      <c r="D14" s="10">
        <v>0.55100000000000005</v>
      </c>
      <c r="E14" s="10">
        <v>0.53600000000000003</v>
      </c>
      <c r="F14" s="10">
        <v>0</v>
      </c>
      <c r="G14" s="10">
        <v>0</v>
      </c>
      <c r="H14" s="10">
        <v>25.657</v>
      </c>
      <c r="I14" s="10">
        <v>17.876000000000001</v>
      </c>
      <c r="J14" s="10">
        <v>5.1660000000000004</v>
      </c>
      <c r="K14" s="10">
        <v>75.605999999999995</v>
      </c>
      <c r="L14" s="10">
        <v>17.484000000000002</v>
      </c>
      <c r="M14" s="13">
        <v>6.26</v>
      </c>
      <c r="N14" s="13">
        <v>0</v>
      </c>
      <c r="O14" s="13">
        <v>0.124</v>
      </c>
      <c r="P14" s="13">
        <v>0.38</v>
      </c>
      <c r="Q14" s="13">
        <v>1.6040000000000001</v>
      </c>
      <c r="R14" s="13">
        <v>0</v>
      </c>
      <c r="S14" s="13">
        <v>0</v>
      </c>
      <c r="T14" s="13">
        <v>0.88700000000000001</v>
      </c>
      <c r="U14" s="13">
        <v>2.3660000000000001</v>
      </c>
      <c r="V14" s="13">
        <v>0</v>
      </c>
      <c r="W14" s="13">
        <v>0</v>
      </c>
      <c r="X14" s="13">
        <v>0</v>
      </c>
      <c r="Y14" s="13">
        <v>0</v>
      </c>
      <c r="Z14" s="13">
        <v>5.7679999999999998</v>
      </c>
      <c r="AA14" s="13">
        <v>1.617</v>
      </c>
      <c r="AB14" s="13">
        <v>0</v>
      </c>
      <c r="AC14" s="13">
        <v>0</v>
      </c>
      <c r="AD14" s="13">
        <v>3.915</v>
      </c>
      <c r="AE14" s="13">
        <v>11.58</v>
      </c>
      <c r="AF14" s="13">
        <v>14.369</v>
      </c>
      <c r="AG14" s="13">
        <v>16.622</v>
      </c>
      <c r="AH14" s="13">
        <v>1.141</v>
      </c>
      <c r="AI14" s="13">
        <v>7.6909999999999998</v>
      </c>
      <c r="AJ14" s="13">
        <v>2.335</v>
      </c>
      <c r="AK14" s="13">
        <v>0</v>
      </c>
      <c r="AL14" s="13">
        <v>0</v>
      </c>
      <c r="AM14" s="13">
        <v>8.3810000000000002</v>
      </c>
      <c r="AN14" s="13">
        <v>3.4940000000000002</v>
      </c>
      <c r="AO14" s="13">
        <v>9.2390000000000008</v>
      </c>
      <c r="AP14" s="13">
        <v>37.96</v>
      </c>
      <c r="AQ14" s="13">
        <v>10.087</v>
      </c>
      <c r="AR14" s="10">
        <v>0</v>
      </c>
      <c r="AS14" s="10">
        <v>24.968</v>
      </c>
      <c r="AT14" s="10">
        <v>22.213000000000001</v>
      </c>
      <c r="AU14" s="10">
        <v>29.106000000000002</v>
      </c>
      <c r="AV14" s="10">
        <v>0</v>
      </c>
      <c r="AW14" s="10">
        <v>1.35</v>
      </c>
      <c r="AX14" s="10">
        <v>0</v>
      </c>
      <c r="AY14" s="10">
        <v>3.0790000000000002</v>
      </c>
      <c r="AZ14" s="10">
        <v>0</v>
      </c>
      <c r="BA14" s="13">
        <v>1.0289999999999999</v>
      </c>
      <c r="BB14" s="13">
        <v>1.099</v>
      </c>
      <c r="BC14" s="13">
        <v>0.91600000000000004</v>
      </c>
      <c r="BD14" s="13">
        <v>0</v>
      </c>
      <c r="BE14" s="13">
        <v>2.173</v>
      </c>
      <c r="BF14" s="13">
        <v>2.8679999999999999</v>
      </c>
      <c r="BG14" s="13">
        <v>9.1010000000000009</v>
      </c>
      <c r="BH14" s="13">
        <v>3.9620000000000002</v>
      </c>
      <c r="BI14" s="10">
        <v>9.06</v>
      </c>
      <c r="BJ14" s="10">
        <v>0</v>
      </c>
      <c r="BK14" s="10">
        <v>3.0030000000000001</v>
      </c>
      <c r="BL14" s="13">
        <v>0</v>
      </c>
      <c r="BM14" s="13">
        <v>2.044</v>
      </c>
      <c r="BN14" s="13">
        <v>0</v>
      </c>
      <c r="BO14" s="13">
        <v>26.446999999999999</v>
      </c>
      <c r="BP14" s="13">
        <v>35.427999999999997</v>
      </c>
      <c r="BQ14" s="13">
        <v>0</v>
      </c>
      <c r="BR14" s="10">
        <v>0.34100000000000003</v>
      </c>
      <c r="BS14" s="10">
        <v>6.516</v>
      </c>
      <c r="BT14" s="10">
        <v>0</v>
      </c>
      <c r="BU14" s="10">
        <v>0</v>
      </c>
      <c r="BV14" s="10">
        <v>3.6909999999999998</v>
      </c>
      <c r="BW14" s="10">
        <v>3.6760000000000002</v>
      </c>
      <c r="BX14" s="13">
        <v>1.1259999999999999</v>
      </c>
      <c r="BY14" s="13">
        <v>0</v>
      </c>
      <c r="BZ14" s="13">
        <v>10.991</v>
      </c>
      <c r="CA14" s="13">
        <v>9.41</v>
      </c>
      <c r="CB14" s="13">
        <v>20.36</v>
      </c>
      <c r="CC14" s="13">
        <v>11.292999999999999</v>
      </c>
      <c r="CD14" s="13">
        <v>0.55700000000000005</v>
      </c>
      <c r="CE14" s="13">
        <v>0</v>
      </c>
      <c r="CF14" s="13">
        <v>25.164000000000001</v>
      </c>
      <c r="CG14" s="13">
        <v>0.94299999999999995</v>
      </c>
      <c r="CH14" s="13">
        <v>5.3239999999999998</v>
      </c>
      <c r="CI14" s="13">
        <v>0</v>
      </c>
      <c r="CJ14" s="13">
        <v>3.3079999999999998</v>
      </c>
      <c r="CK14" s="13">
        <v>15.308</v>
      </c>
      <c r="CL14" s="13">
        <v>4.5359999999999996</v>
      </c>
      <c r="CM14" s="13">
        <v>8.18</v>
      </c>
      <c r="CN14" s="13">
        <v>5.3689999999999998</v>
      </c>
      <c r="CO14" s="13">
        <v>0</v>
      </c>
      <c r="CP14" s="13">
        <v>1.266</v>
      </c>
      <c r="CQ14" s="13">
        <v>0</v>
      </c>
      <c r="CR14" s="13">
        <v>40.142000000000003</v>
      </c>
      <c r="CS14" s="10">
        <v>0</v>
      </c>
      <c r="CT14" s="10">
        <v>1.903</v>
      </c>
      <c r="CU14" s="10">
        <v>9.0519999999999996</v>
      </c>
      <c r="CV14" s="10">
        <v>0</v>
      </c>
      <c r="CW14" s="10">
        <v>5.7469999999999999</v>
      </c>
      <c r="CX14" s="10">
        <v>66.811999999999998</v>
      </c>
      <c r="CY14" s="10">
        <v>2.3849999999999998</v>
      </c>
      <c r="CZ14" s="10">
        <v>2.093</v>
      </c>
    </row>
    <row r="15" spans="2:104" x14ac:dyDescent="0.25">
      <c r="B15" s="5" t="s">
        <v>44</v>
      </c>
      <c r="C15" s="10">
        <v>10.537000000000001</v>
      </c>
      <c r="D15" s="10">
        <v>0</v>
      </c>
      <c r="E15" s="10">
        <v>2.145</v>
      </c>
      <c r="F15" s="10">
        <v>7.5449999999999999</v>
      </c>
      <c r="G15" s="10">
        <v>0</v>
      </c>
      <c r="H15" s="10">
        <v>0</v>
      </c>
      <c r="I15" s="10">
        <v>0</v>
      </c>
      <c r="J15" s="10">
        <v>8.1940000000000008</v>
      </c>
      <c r="K15" s="10">
        <v>0</v>
      </c>
      <c r="L15" s="10">
        <v>56.228000000000002</v>
      </c>
      <c r="M15" s="13">
        <v>0</v>
      </c>
      <c r="N15" s="13">
        <v>0</v>
      </c>
      <c r="O15" s="13">
        <v>0</v>
      </c>
      <c r="P15" s="13">
        <v>0.38</v>
      </c>
      <c r="Q15" s="13">
        <v>0</v>
      </c>
      <c r="R15" s="13">
        <v>0</v>
      </c>
      <c r="S15" s="13">
        <v>0</v>
      </c>
      <c r="T15" s="13">
        <v>2.66</v>
      </c>
      <c r="U15" s="13">
        <v>2.0219999999999998</v>
      </c>
      <c r="V15" s="13">
        <v>2.4849999999999999</v>
      </c>
      <c r="W15" s="13">
        <v>1.84</v>
      </c>
      <c r="X15" s="13">
        <v>0</v>
      </c>
      <c r="Y15" s="13">
        <v>0.998</v>
      </c>
      <c r="Z15" s="13">
        <v>0</v>
      </c>
      <c r="AA15" s="13">
        <v>3.4809999999999999</v>
      </c>
      <c r="AB15" s="13">
        <v>8.32</v>
      </c>
      <c r="AC15" s="13">
        <v>0.504</v>
      </c>
      <c r="AD15" s="13">
        <v>18.472999999999999</v>
      </c>
      <c r="AE15" s="13">
        <v>12.045999999999999</v>
      </c>
      <c r="AF15" s="13">
        <v>7.7460000000000004</v>
      </c>
      <c r="AG15" s="13">
        <v>0.22800000000000001</v>
      </c>
      <c r="AH15" s="13">
        <v>0.76100000000000001</v>
      </c>
      <c r="AI15" s="13">
        <v>0</v>
      </c>
      <c r="AJ15" s="13">
        <v>2.1779999999999999</v>
      </c>
      <c r="AK15" s="13">
        <v>0</v>
      </c>
      <c r="AL15" s="13">
        <v>0</v>
      </c>
      <c r="AM15" s="13">
        <v>10.321</v>
      </c>
      <c r="AN15" s="13">
        <v>0</v>
      </c>
      <c r="AO15" s="13">
        <v>14.677</v>
      </c>
      <c r="AP15" s="13">
        <v>0</v>
      </c>
      <c r="AQ15" s="13">
        <v>15.13</v>
      </c>
      <c r="AR15" s="10">
        <v>11.202999999999999</v>
      </c>
      <c r="AS15" s="10">
        <v>3.9249999999999998</v>
      </c>
      <c r="AT15" s="10">
        <v>3.702</v>
      </c>
      <c r="AU15" s="10">
        <v>0</v>
      </c>
      <c r="AV15" s="10">
        <v>0</v>
      </c>
      <c r="AW15" s="10">
        <v>1.35</v>
      </c>
      <c r="AX15" s="10">
        <v>0.30299999999999999</v>
      </c>
      <c r="AY15" s="10">
        <v>0</v>
      </c>
      <c r="AZ15" s="10">
        <v>16.399000000000001</v>
      </c>
      <c r="BA15" s="13">
        <v>0</v>
      </c>
      <c r="BB15" s="13">
        <v>2.1970000000000001</v>
      </c>
      <c r="BC15" s="13">
        <v>1.077</v>
      </c>
      <c r="BD15" s="13">
        <v>0</v>
      </c>
      <c r="BE15" s="13">
        <v>0.435</v>
      </c>
      <c r="BF15" s="13">
        <v>0</v>
      </c>
      <c r="BG15" s="13">
        <v>2.4460000000000002</v>
      </c>
      <c r="BH15" s="13">
        <v>0</v>
      </c>
      <c r="BI15" s="10">
        <v>2.8439999999999999</v>
      </c>
      <c r="BJ15" s="10">
        <v>0</v>
      </c>
      <c r="BK15" s="10">
        <v>2.4670000000000001</v>
      </c>
      <c r="BL15" s="13">
        <v>0</v>
      </c>
      <c r="BM15" s="13">
        <v>48.463000000000001</v>
      </c>
      <c r="BN15" s="13">
        <v>65.097999999999999</v>
      </c>
      <c r="BO15" s="13">
        <v>8.8160000000000007</v>
      </c>
      <c r="BP15" s="13">
        <v>17.265999999999998</v>
      </c>
      <c r="BQ15" s="13">
        <v>14.215</v>
      </c>
      <c r="BR15" s="10">
        <v>1.6319999999999999</v>
      </c>
      <c r="BS15" s="10">
        <v>5.407</v>
      </c>
      <c r="BT15" s="10">
        <v>4.2519999999999998</v>
      </c>
      <c r="BU15" s="10">
        <v>4.91</v>
      </c>
      <c r="BV15" s="10">
        <v>0</v>
      </c>
      <c r="BW15" s="10">
        <v>5.8239999999999998</v>
      </c>
      <c r="BX15" s="13">
        <v>0.28100000000000003</v>
      </c>
      <c r="BY15" s="13">
        <v>0.31</v>
      </c>
      <c r="BZ15" s="13">
        <v>0</v>
      </c>
      <c r="CA15" s="13">
        <v>19.954999999999998</v>
      </c>
      <c r="CB15" s="13">
        <v>14.544</v>
      </c>
      <c r="CC15" s="13">
        <v>0</v>
      </c>
      <c r="CD15" s="13">
        <v>0</v>
      </c>
      <c r="CE15" s="13">
        <v>1.99</v>
      </c>
      <c r="CF15" s="13">
        <v>2.4489999999999998</v>
      </c>
      <c r="CG15" s="13">
        <v>14.103</v>
      </c>
      <c r="CH15" s="13">
        <v>6.6230000000000002</v>
      </c>
      <c r="CI15" s="13">
        <v>6.3620000000000001</v>
      </c>
      <c r="CJ15" s="13">
        <v>3.903</v>
      </c>
      <c r="CK15" s="13">
        <v>11.818</v>
      </c>
      <c r="CL15" s="13">
        <v>6.641</v>
      </c>
      <c r="CM15" s="13">
        <v>0</v>
      </c>
      <c r="CN15" s="13">
        <v>0</v>
      </c>
      <c r="CO15" s="13">
        <v>4.0369999999999999</v>
      </c>
      <c r="CP15" s="13">
        <v>0</v>
      </c>
      <c r="CQ15" s="13">
        <v>0</v>
      </c>
      <c r="CR15" s="13">
        <v>13.381</v>
      </c>
      <c r="CS15" s="10">
        <v>0</v>
      </c>
      <c r="CT15" s="10">
        <v>2.9729999999999999</v>
      </c>
      <c r="CU15" s="10">
        <v>3.415</v>
      </c>
      <c r="CV15" s="10">
        <v>0</v>
      </c>
      <c r="CW15" s="10">
        <v>9.0850000000000009</v>
      </c>
      <c r="CX15" s="10">
        <v>0</v>
      </c>
      <c r="CY15" s="10">
        <v>1.59</v>
      </c>
      <c r="CZ15" s="10">
        <v>0</v>
      </c>
    </row>
    <row r="16" spans="2:104" x14ac:dyDescent="0.25">
      <c r="B16" s="5" t="s">
        <v>123</v>
      </c>
      <c r="C16" s="10">
        <v>150.761</v>
      </c>
      <c r="D16" s="10">
        <v>5.7060000000000004</v>
      </c>
      <c r="E16" s="10">
        <v>1.609</v>
      </c>
      <c r="F16" s="10">
        <v>0</v>
      </c>
      <c r="G16" s="10">
        <v>0.60899999999999999</v>
      </c>
      <c r="H16" s="10">
        <v>0</v>
      </c>
      <c r="I16" s="10">
        <v>21.372</v>
      </c>
      <c r="J16" s="10">
        <v>15.401</v>
      </c>
      <c r="K16" s="10">
        <v>34.947000000000003</v>
      </c>
      <c r="L16" s="10">
        <v>0</v>
      </c>
      <c r="M16" s="13">
        <v>0</v>
      </c>
      <c r="N16" s="13">
        <v>0</v>
      </c>
      <c r="O16" s="13">
        <v>0.124</v>
      </c>
      <c r="P16" s="13">
        <v>0.28399999999999997</v>
      </c>
      <c r="Q16" s="13">
        <v>1.9259999999999999</v>
      </c>
      <c r="R16" s="13">
        <v>3.4359999999999999</v>
      </c>
      <c r="S16" s="13">
        <v>0</v>
      </c>
      <c r="T16" s="13">
        <v>2.66</v>
      </c>
      <c r="U16" s="13">
        <v>0.94699999999999995</v>
      </c>
      <c r="V16" s="13">
        <v>0</v>
      </c>
      <c r="W16" s="13">
        <v>2.4529999999999998</v>
      </c>
      <c r="X16" s="13">
        <v>1.2130000000000001</v>
      </c>
      <c r="Y16" s="13">
        <v>0.249</v>
      </c>
      <c r="Z16" s="13">
        <v>3.3879999999999999</v>
      </c>
      <c r="AA16" s="13">
        <v>0</v>
      </c>
      <c r="AB16" s="13">
        <v>17.007999999999999</v>
      </c>
      <c r="AC16" s="13">
        <v>0.41199999999999998</v>
      </c>
      <c r="AD16" s="13">
        <v>8.7149999999999999</v>
      </c>
      <c r="AE16" s="13">
        <v>8.0310000000000006</v>
      </c>
      <c r="AF16" s="13">
        <v>8.9280000000000008</v>
      </c>
      <c r="AG16" s="13">
        <v>4.0670000000000002</v>
      </c>
      <c r="AH16" s="13">
        <v>1.141</v>
      </c>
      <c r="AI16" s="13">
        <v>7.6909999999999998</v>
      </c>
      <c r="AJ16" s="13">
        <v>4.3550000000000004</v>
      </c>
      <c r="AK16" s="13">
        <v>0</v>
      </c>
      <c r="AL16" s="13">
        <v>0</v>
      </c>
      <c r="AM16" s="13">
        <v>5.218</v>
      </c>
      <c r="AN16" s="13">
        <v>0</v>
      </c>
      <c r="AO16" s="13">
        <v>7.3390000000000004</v>
      </c>
      <c r="AP16" s="13">
        <v>2.4020000000000001</v>
      </c>
      <c r="AQ16" s="13">
        <v>0</v>
      </c>
      <c r="AR16" s="10">
        <v>24.763999999999999</v>
      </c>
      <c r="AS16" s="10">
        <v>18.797999999999998</v>
      </c>
      <c r="AT16" s="10">
        <v>3.702</v>
      </c>
      <c r="AU16" s="10">
        <v>7.2770000000000001</v>
      </c>
      <c r="AV16" s="10">
        <v>0</v>
      </c>
      <c r="AW16" s="10">
        <v>7.875</v>
      </c>
      <c r="AX16" s="10">
        <v>0.152</v>
      </c>
      <c r="AY16" s="10">
        <v>0.77</v>
      </c>
      <c r="AZ16" s="10">
        <v>10.593</v>
      </c>
      <c r="BA16" s="13">
        <v>0</v>
      </c>
      <c r="BB16" s="13">
        <v>1.2949999999999999</v>
      </c>
      <c r="BC16" s="13">
        <v>3.625</v>
      </c>
      <c r="BD16" s="13">
        <v>0.71799999999999997</v>
      </c>
      <c r="BE16" s="13">
        <v>0</v>
      </c>
      <c r="BF16" s="13">
        <v>5.7359999999999998</v>
      </c>
      <c r="BG16" s="13">
        <v>2.4460000000000002</v>
      </c>
      <c r="BH16" s="13">
        <v>2.8519999999999999</v>
      </c>
      <c r="BI16" s="10">
        <v>2.617</v>
      </c>
      <c r="BJ16" s="10">
        <v>0</v>
      </c>
      <c r="BK16" s="10">
        <v>22.652000000000001</v>
      </c>
      <c r="BL16" s="13">
        <v>0</v>
      </c>
      <c r="BM16" s="13">
        <v>22.507999999999999</v>
      </c>
      <c r="BN16" s="13">
        <v>0</v>
      </c>
      <c r="BO16" s="13">
        <v>0</v>
      </c>
      <c r="BP16" s="13">
        <v>5.4569999999999999</v>
      </c>
      <c r="BQ16" s="13">
        <v>0</v>
      </c>
      <c r="BR16" s="10">
        <v>0</v>
      </c>
      <c r="BS16" s="10">
        <v>0</v>
      </c>
      <c r="BT16" s="10">
        <v>2.1259999999999999</v>
      </c>
      <c r="BU16" s="10">
        <v>0</v>
      </c>
      <c r="BV16" s="10">
        <v>21.193000000000001</v>
      </c>
      <c r="BW16" s="10">
        <v>1.456</v>
      </c>
      <c r="BX16" s="13">
        <v>1.1259999999999999</v>
      </c>
      <c r="BY16" s="13">
        <v>0.53200000000000003</v>
      </c>
      <c r="BZ16" s="13">
        <v>0</v>
      </c>
      <c r="CA16" s="13">
        <v>6.4939999999999998</v>
      </c>
      <c r="CB16" s="13">
        <v>13.414999999999999</v>
      </c>
      <c r="CC16" s="13">
        <v>17.472000000000001</v>
      </c>
      <c r="CD16" s="13">
        <v>29.219000000000001</v>
      </c>
      <c r="CE16" s="13">
        <v>9.5609999999999999</v>
      </c>
      <c r="CF16" s="13">
        <v>11.401</v>
      </c>
      <c r="CG16" s="13">
        <v>0</v>
      </c>
      <c r="CH16" s="13">
        <v>1.897</v>
      </c>
      <c r="CI16" s="13">
        <v>1.68</v>
      </c>
      <c r="CJ16" s="13">
        <v>0</v>
      </c>
      <c r="CK16" s="13">
        <v>35.453000000000003</v>
      </c>
      <c r="CL16" s="13">
        <v>0</v>
      </c>
      <c r="CM16" s="13">
        <v>1.3080000000000001</v>
      </c>
      <c r="CN16" s="13">
        <v>0</v>
      </c>
      <c r="CO16" s="13">
        <v>12.127000000000001</v>
      </c>
      <c r="CP16" s="13">
        <v>5.7859999999999996</v>
      </c>
      <c r="CQ16" s="13">
        <v>4.3120000000000003</v>
      </c>
      <c r="CR16" s="13">
        <v>0</v>
      </c>
      <c r="CS16" s="10">
        <v>19.521000000000001</v>
      </c>
      <c r="CT16" s="10">
        <v>3.149</v>
      </c>
      <c r="CU16" s="10">
        <v>6.0350000000000001</v>
      </c>
      <c r="CV16" s="10">
        <v>0.995</v>
      </c>
      <c r="CW16" s="10">
        <v>36.378999999999998</v>
      </c>
      <c r="CX16" s="10">
        <v>17.193000000000001</v>
      </c>
      <c r="CY16" s="10">
        <v>0</v>
      </c>
      <c r="CZ16" s="10">
        <v>0</v>
      </c>
    </row>
    <row r="17" spans="2:104" x14ac:dyDescent="0.25">
      <c r="B17" s="5" t="s">
        <v>122</v>
      </c>
      <c r="C17" s="10">
        <v>19.722999999999999</v>
      </c>
      <c r="D17" s="10">
        <v>3.2519999999999998</v>
      </c>
      <c r="E17" s="10">
        <v>0.53600000000000003</v>
      </c>
      <c r="F17" s="10">
        <v>7.5449999999999999</v>
      </c>
      <c r="G17" s="10">
        <v>0.40600000000000003</v>
      </c>
      <c r="H17" s="10">
        <v>18.3</v>
      </c>
      <c r="I17" s="10">
        <v>0.223</v>
      </c>
      <c r="J17" s="10">
        <v>11.707000000000001</v>
      </c>
      <c r="K17" s="10">
        <v>34.947000000000003</v>
      </c>
      <c r="L17" s="10">
        <v>28.114000000000001</v>
      </c>
      <c r="M17" s="13">
        <v>0</v>
      </c>
      <c r="N17" s="13">
        <v>1.25</v>
      </c>
      <c r="O17" s="13">
        <v>0.248</v>
      </c>
      <c r="P17" s="13">
        <v>0.14199999999999999</v>
      </c>
      <c r="Q17" s="13">
        <v>0.96299999999999997</v>
      </c>
      <c r="R17" s="13">
        <v>1.718</v>
      </c>
      <c r="S17" s="13">
        <v>0</v>
      </c>
      <c r="T17" s="13">
        <v>1.6220000000000001</v>
      </c>
      <c r="U17" s="13">
        <v>3.0630000000000002</v>
      </c>
      <c r="V17" s="13">
        <v>0</v>
      </c>
      <c r="W17" s="13">
        <v>3.42</v>
      </c>
      <c r="X17" s="13">
        <v>1.2130000000000001</v>
      </c>
      <c r="Y17" s="13">
        <v>0.998</v>
      </c>
      <c r="Z17" s="13">
        <v>6.6870000000000003</v>
      </c>
      <c r="AA17" s="13">
        <v>3.0409999999999999</v>
      </c>
      <c r="AB17" s="13">
        <v>26.062000000000001</v>
      </c>
      <c r="AC17" s="13">
        <v>0.49399999999999999</v>
      </c>
      <c r="AD17" s="13">
        <v>1.0429999999999999</v>
      </c>
      <c r="AE17" s="13">
        <v>0.89500000000000002</v>
      </c>
      <c r="AF17" s="13">
        <v>9.8010000000000002</v>
      </c>
      <c r="AG17" s="13">
        <v>12.555</v>
      </c>
      <c r="AH17" s="13">
        <v>1.9590000000000001</v>
      </c>
      <c r="AI17" s="13">
        <v>6.2030000000000003</v>
      </c>
      <c r="AJ17" s="13">
        <v>4.3550000000000004</v>
      </c>
      <c r="AK17" s="13">
        <v>5.181</v>
      </c>
      <c r="AL17" s="13">
        <v>0</v>
      </c>
      <c r="AM17" s="13">
        <v>4.1210000000000004</v>
      </c>
      <c r="AN17" s="13">
        <v>0</v>
      </c>
      <c r="AO17" s="13">
        <v>0</v>
      </c>
      <c r="AP17" s="13">
        <v>17.187000000000001</v>
      </c>
      <c r="AQ17" s="13">
        <v>30.937999999999999</v>
      </c>
      <c r="AR17" s="10">
        <v>0</v>
      </c>
      <c r="AS17" s="10">
        <v>5.931</v>
      </c>
      <c r="AT17" s="10">
        <v>24.209</v>
      </c>
      <c r="AU17" s="10">
        <v>0</v>
      </c>
      <c r="AV17" s="10">
        <v>25.015999999999998</v>
      </c>
      <c r="AW17" s="10">
        <v>4.5</v>
      </c>
      <c r="AX17" s="10">
        <v>0</v>
      </c>
      <c r="AY17" s="10">
        <v>0.89100000000000001</v>
      </c>
      <c r="AZ17" s="10">
        <v>14.215999999999999</v>
      </c>
      <c r="BA17" s="13">
        <v>2.1459999999999999</v>
      </c>
      <c r="BB17" s="13">
        <v>1.2949999999999999</v>
      </c>
      <c r="BC17" s="13">
        <v>1.6339999999999999</v>
      </c>
      <c r="BD17" s="13">
        <v>0</v>
      </c>
      <c r="BE17" s="13">
        <v>0.29799999999999999</v>
      </c>
      <c r="BF17" s="13">
        <v>1.329</v>
      </c>
      <c r="BG17" s="13">
        <v>2.4460000000000002</v>
      </c>
      <c r="BH17" s="13">
        <v>1.802</v>
      </c>
      <c r="BI17" s="10">
        <v>0</v>
      </c>
      <c r="BJ17" s="10">
        <v>6.0990000000000002</v>
      </c>
      <c r="BK17" s="10">
        <v>0</v>
      </c>
      <c r="BL17" s="13">
        <v>3.8690000000000002</v>
      </c>
      <c r="BM17" s="13">
        <v>9.0449999999999999</v>
      </c>
      <c r="BN17" s="13">
        <v>0</v>
      </c>
      <c r="BO17" s="13">
        <v>0</v>
      </c>
      <c r="BP17" s="13">
        <v>17.265999999999998</v>
      </c>
      <c r="BQ17" s="13">
        <v>8.3079999999999998</v>
      </c>
      <c r="BR17" s="10">
        <v>0</v>
      </c>
      <c r="BS17" s="10">
        <v>2.1720000000000002</v>
      </c>
      <c r="BT17" s="10">
        <v>0</v>
      </c>
      <c r="BU17" s="10">
        <v>2.4550000000000001</v>
      </c>
      <c r="BV17" s="10">
        <v>0</v>
      </c>
      <c r="BW17" s="10">
        <v>2.3029999999999999</v>
      </c>
      <c r="BX17" s="13">
        <v>0.28100000000000003</v>
      </c>
      <c r="BY17" s="13">
        <v>0.51900000000000002</v>
      </c>
      <c r="BZ17" s="13">
        <v>3.6989999999999998</v>
      </c>
      <c r="CA17" s="13">
        <v>0.42299999999999999</v>
      </c>
      <c r="CB17" s="13">
        <v>11.868</v>
      </c>
      <c r="CC17" s="13">
        <v>5.3970000000000002</v>
      </c>
      <c r="CD17" s="13">
        <v>28.361000000000001</v>
      </c>
      <c r="CE17" s="13">
        <v>9.5609999999999999</v>
      </c>
      <c r="CF17" s="13">
        <v>11.868</v>
      </c>
      <c r="CG17" s="13">
        <v>0</v>
      </c>
      <c r="CH17" s="13">
        <v>4.726</v>
      </c>
      <c r="CI17" s="13">
        <v>3.36</v>
      </c>
      <c r="CJ17" s="13">
        <v>2.6019999999999999</v>
      </c>
      <c r="CK17" s="13">
        <v>0</v>
      </c>
      <c r="CL17" s="13">
        <v>4.056</v>
      </c>
      <c r="CM17" s="13">
        <v>0</v>
      </c>
      <c r="CN17" s="13">
        <v>0</v>
      </c>
      <c r="CO17" s="13">
        <v>8.423</v>
      </c>
      <c r="CP17" s="13">
        <v>1.266</v>
      </c>
      <c r="CQ17" s="13">
        <v>3.7730000000000001</v>
      </c>
      <c r="CR17" s="13">
        <v>30.140999999999998</v>
      </c>
      <c r="CS17" s="10">
        <v>5.2329999999999997</v>
      </c>
      <c r="CT17" s="10">
        <v>2.2549999999999999</v>
      </c>
      <c r="CU17" s="10">
        <v>0</v>
      </c>
      <c r="CV17" s="10">
        <v>0</v>
      </c>
      <c r="CW17" s="10">
        <v>8.3480000000000008</v>
      </c>
      <c r="CX17" s="10">
        <v>16.486000000000001</v>
      </c>
      <c r="CY17" s="10">
        <v>2.0419999999999998</v>
      </c>
      <c r="CZ17" s="10">
        <v>0</v>
      </c>
    </row>
    <row r="18" spans="2:104" x14ac:dyDescent="0.25">
      <c r="B18" s="5" t="s">
        <v>121</v>
      </c>
      <c r="C18" s="10">
        <v>7.351</v>
      </c>
      <c r="D18" s="10">
        <v>8.9849999999999994</v>
      </c>
      <c r="E18" s="10">
        <v>0.53600000000000003</v>
      </c>
      <c r="F18" s="10">
        <v>0</v>
      </c>
      <c r="G18" s="10">
        <v>0</v>
      </c>
      <c r="H18" s="10">
        <v>17.562000000000001</v>
      </c>
      <c r="I18" s="10">
        <v>10.545</v>
      </c>
      <c r="J18" s="10">
        <v>17.876000000000001</v>
      </c>
      <c r="K18" s="10">
        <v>34.808999999999997</v>
      </c>
      <c r="L18" s="10">
        <v>0</v>
      </c>
      <c r="M18" s="13">
        <v>1.25</v>
      </c>
      <c r="N18" s="13">
        <v>5.76</v>
      </c>
      <c r="O18" s="13">
        <v>0</v>
      </c>
      <c r="P18" s="13">
        <v>0.56799999999999995</v>
      </c>
      <c r="Q18" s="13">
        <v>2.8889999999999998</v>
      </c>
      <c r="R18" s="13">
        <v>3.4359999999999999</v>
      </c>
      <c r="S18" s="13">
        <v>0</v>
      </c>
      <c r="T18" s="13">
        <v>1.081</v>
      </c>
      <c r="U18" s="13">
        <v>0</v>
      </c>
      <c r="V18" s="13">
        <v>0</v>
      </c>
      <c r="W18" s="13">
        <v>0</v>
      </c>
      <c r="X18" s="13">
        <v>0</v>
      </c>
      <c r="Y18" s="13">
        <v>0.28499999999999998</v>
      </c>
      <c r="Z18" s="13">
        <v>2.8839999999999999</v>
      </c>
      <c r="AA18" s="13">
        <v>5.3220000000000001</v>
      </c>
      <c r="AB18" s="13">
        <v>9.4220000000000006</v>
      </c>
      <c r="AC18" s="13">
        <v>0</v>
      </c>
      <c r="AD18" s="13">
        <v>1.776</v>
      </c>
      <c r="AE18" s="13">
        <v>0</v>
      </c>
      <c r="AF18" s="13">
        <v>8.9280000000000008</v>
      </c>
      <c r="AG18" s="13">
        <v>42.777999999999999</v>
      </c>
      <c r="AH18" s="13">
        <v>1.47</v>
      </c>
      <c r="AI18" s="13">
        <v>0</v>
      </c>
      <c r="AJ18" s="13">
        <v>2.1779999999999999</v>
      </c>
      <c r="AK18" s="13">
        <v>0</v>
      </c>
      <c r="AL18" s="13">
        <v>5.181</v>
      </c>
      <c r="AM18" s="13">
        <v>6.468</v>
      </c>
      <c r="AN18" s="13">
        <v>13.561</v>
      </c>
      <c r="AO18" s="13">
        <v>6.0430000000000001</v>
      </c>
      <c r="AP18" s="13">
        <v>17.187000000000001</v>
      </c>
      <c r="AQ18" s="13">
        <v>0</v>
      </c>
      <c r="AR18" s="10">
        <v>7.5709999999999997</v>
      </c>
      <c r="AS18" s="10">
        <v>18.492000000000001</v>
      </c>
      <c r="AT18" s="10">
        <v>19.367000000000001</v>
      </c>
      <c r="AU18" s="10">
        <v>0</v>
      </c>
      <c r="AV18" s="10">
        <v>0</v>
      </c>
      <c r="AW18" s="10">
        <v>4.3479999999999999</v>
      </c>
      <c r="AX18" s="10">
        <v>0.152</v>
      </c>
      <c r="AY18" s="10">
        <v>0</v>
      </c>
      <c r="AZ18" s="10">
        <v>15.352</v>
      </c>
      <c r="BA18" s="13">
        <v>1.7749999999999999</v>
      </c>
      <c r="BB18" s="13">
        <v>1.2949999999999999</v>
      </c>
      <c r="BC18" s="13">
        <v>1.6339999999999999</v>
      </c>
      <c r="BD18" s="13">
        <v>0</v>
      </c>
      <c r="BE18" s="13">
        <v>0.59499999999999997</v>
      </c>
      <c r="BF18" s="13">
        <v>3.9860000000000002</v>
      </c>
      <c r="BG18" s="13">
        <v>2.4540000000000002</v>
      </c>
      <c r="BH18" s="13">
        <v>3.0489999999999999</v>
      </c>
      <c r="BI18" s="10">
        <v>3.6360000000000001</v>
      </c>
      <c r="BJ18" s="10">
        <v>0</v>
      </c>
      <c r="BK18" s="10">
        <v>0</v>
      </c>
      <c r="BL18" s="13">
        <v>6.7919999999999998</v>
      </c>
      <c r="BM18" s="13">
        <v>13.673999999999999</v>
      </c>
      <c r="BN18" s="13">
        <v>0</v>
      </c>
      <c r="BO18" s="13">
        <v>21.824999999999999</v>
      </c>
      <c r="BP18" s="13">
        <v>0</v>
      </c>
      <c r="BQ18" s="13">
        <v>0</v>
      </c>
      <c r="BR18" s="10">
        <v>1.4239999999999999</v>
      </c>
      <c r="BS18" s="10">
        <v>0</v>
      </c>
      <c r="BT18" s="10">
        <v>6.516</v>
      </c>
      <c r="BU18" s="10">
        <v>4.91</v>
      </c>
      <c r="BV18" s="10">
        <v>0</v>
      </c>
      <c r="BW18" s="10">
        <v>4.6059999999999999</v>
      </c>
      <c r="BX18" s="13">
        <v>0.90900000000000003</v>
      </c>
      <c r="BY18" s="13">
        <v>0</v>
      </c>
      <c r="BZ18" s="13">
        <v>0</v>
      </c>
      <c r="CA18" s="13">
        <v>28.228999999999999</v>
      </c>
      <c r="CB18" s="13">
        <v>16.928999999999998</v>
      </c>
      <c r="CC18" s="13">
        <v>12.353</v>
      </c>
      <c r="CD18" s="13">
        <v>0</v>
      </c>
      <c r="CE18" s="13">
        <v>9.5609999999999999</v>
      </c>
      <c r="CF18" s="13">
        <v>4.694</v>
      </c>
      <c r="CG18" s="13">
        <v>45.118000000000002</v>
      </c>
      <c r="CH18" s="13">
        <v>0</v>
      </c>
      <c r="CI18" s="13">
        <v>0.29599999999999999</v>
      </c>
      <c r="CJ18" s="13">
        <v>2.6019999999999999</v>
      </c>
      <c r="CK18" s="13">
        <v>8.5630000000000006</v>
      </c>
      <c r="CL18" s="13">
        <v>2.214</v>
      </c>
      <c r="CM18" s="13">
        <v>7.2370000000000001</v>
      </c>
      <c r="CN18" s="13">
        <v>0</v>
      </c>
      <c r="CO18" s="13">
        <v>2.7309999999999999</v>
      </c>
      <c r="CP18" s="13">
        <v>1.266</v>
      </c>
      <c r="CQ18" s="13">
        <v>0</v>
      </c>
      <c r="CR18" s="13">
        <v>9.1539999999999999</v>
      </c>
      <c r="CS18" s="10">
        <v>5.5359999999999996</v>
      </c>
      <c r="CT18" s="10">
        <v>1.587</v>
      </c>
      <c r="CU18" s="10">
        <v>3.0169999999999999</v>
      </c>
      <c r="CV18" s="10">
        <v>1.163</v>
      </c>
      <c r="CW18" s="10">
        <v>0</v>
      </c>
      <c r="CX18" s="10">
        <v>9.8919999999999995</v>
      </c>
      <c r="CY18" s="10">
        <v>0.68100000000000005</v>
      </c>
      <c r="CZ18" s="10">
        <v>0.69799999999999995</v>
      </c>
    </row>
    <row r="19" spans="2:104" x14ac:dyDescent="0.25">
      <c r="B19" s="5" t="s">
        <v>120</v>
      </c>
      <c r="C19" s="10">
        <v>0</v>
      </c>
      <c r="D19" s="10">
        <v>9.0760000000000005</v>
      </c>
      <c r="E19" s="10">
        <v>0</v>
      </c>
      <c r="F19" s="10">
        <v>2.5150000000000001</v>
      </c>
      <c r="G19" s="10">
        <v>0.50700000000000001</v>
      </c>
      <c r="H19" s="10">
        <v>0</v>
      </c>
      <c r="I19" s="10">
        <v>5.2729999999999997</v>
      </c>
      <c r="J19" s="10">
        <v>0</v>
      </c>
      <c r="K19" s="10">
        <v>57.820999999999998</v>
      </c>
      <c r="L19" s="10">
        <v>25.504999999999999</v>
      </c>
      <c r="M19" s="13">
        <v>5.76</v>
      </c>
      <c r="N19" s="13">
        <v>3.996</v>
      </c>
      <c r="O19" s="13">
        <v>0.45800000000000002</v>
      </c>
      <c r="P19" s="13">
        <v>0.28399999999999997</v>
      </c>
      <c r="Q19" s="13">
        <v>2.8889999999999998</v>
      </c>
      <c r="R19" s="13">
        <v>0</v>
      </c>
      <c r="S19" s="13">
        <v>0.16600000000000001</v>
      </c>
      <c r="T19" s="13">
        <v>0</v>
      </c>
      <c r="U19" s="13">
        <v>2.0419999999999998</v>
      </c>
      <c r="V19" s="13">
        <v>1.2430000000000001</v>
      </c>
      <c r="W19" s="13">
        <v>6.8390000000000004</v>
      </c>
      <c r="X19" s="13">
        <v>0</v>
      </c>
      <c r="Y19" s="13">
        <v>0.42399999999999999</v>
      </c>
      <c r="Z19" s="13">
        <v>5.0419999999999998</v>
      </c>
      <c r="AA19" s="13">
        <v>0</v>
      </c>
      <c r="AB19" s="13">
        <v>35.116999999999997</v>
      </c>
      <c r="AC19" s="13">
        <v>0</v>
      </c>
      <c r="AD19" s="13">
        <v>0.73299999999999998</v>
      </c>
      <c r="AE19" s="13">
        <v>11.752000000000001</v>
      </c>
      <c r="AF19" s="13">
        <v>8.9280000000000008</v>
      </c>
      <c r="AG19" s="13">
        <v>1.202</v>
      </c>
      <c r="AH19" s="13">
        <v>0.49</v>
      </c>
      <c r="AI19" s="13">
        <v>0</v>
      </c>
      <c r="AJ19" s="13">
        <v>4.3550000000000004</v>
      </c>
      <c r="AK19" s="13">
        <v>2.11</v>
      </c>
      <c r="AL19" s="13">
        <v>0</v>
      </c>
      <c r="AM19" s="13">
        <v>14.691000000000001</v>
      </c>
      <c r="AN19" s="13">
        <v>0</v>
      </c>
      <c r="AO19" s="13">
        <v>1.1719999999999999</v>
      </c>
      <c r="AP19" s="13">
        <v>12.89</v>
      </c>
      <c r="AQ19" s="13">
        <v>0.874</v>
      </c>
      <c r="AR19" s="10">
        <v>8.5090000000000003</v>
      </c>
      <c r="AS19" s="10">
        <v>1.266</v>
      </c>
      <c r="AT19" s="10">
        <v>4.8419999999999996</v>
      </c>
      <c r="AU19" s="10">
        <v>18.244</v>
      </c>
      <c r="AV19" s="10">
        <v>0</v>
      </c>
      <c r="AW19" s="10">
        <v>15.488</v>
      </c>
      <c r="AX19" s="10">
        <v>0.45500000000000002</v>
      </c>
      <c r="AY19" s="10">
        <v>1.782</v>
      </c>
      <c r="AZ19" s="10">
        <v>0</v>
      </c>
      <c r="BA19" s="13">
        <v>2.1739999999999999</v>
      </c>
      <c r="BB19" s="13">
        <v>1.2949999999999999</v>
      </c>
      <c r="BC19" s="13">
        <v>1.6339999999999999</v>
      </c>
      <c r="BD19" s="13">
        <v>0</v>
      </c>
      <c r="BE19" s="13">
        <v>0.59499999999999997</v>
      </c>
      <c r="BF19" s="13">
        <v>1.329</v>
      </c>
      <c r="BG19" s="13">
        <v>0</v>
      </c>
      <c r="BH19" s="13">
        <v>1.454</v>
      </c>
      <c r="BI19" s="10">
        <v>0</v>
      </c>
      <c r="BJ19" s="10">
        <v>1.5640000000000001</v>
      </c>
      <c r="BK19" s="10">
        <v>0</v>
      </c>
      <c r="BL19" s="13">
        <v>0</v>
      </c>
      <c r="BM19" s="13">
        <v>9.0449999999999999</v>
      </c>
      <c r="BN19" s="13">
        <v>0</v>
      </c>
      <c r="BO19" s="13">
        <v>0</v>
      </c>
      <c r="BP19" s="13">
        <v>7.7370000000000001</v>
      </c>
      <c r="BQ19" s="13">
        <v>45.588000000000001</v>
      </c>
      <c r="BR19" s="10">
        <v>1.9490000000000001</v>
      </c>
      <c r="BS19" s="10">
        <v>6.4379999999999997</v>
      </c>
      <c r="BT19" s="10">
        <v>5.407</v>
      </c>
      <c r="BU19" s="10">
        <v>2.4550000000000001</v>
      </c>
      <c r="BV19" s="10">
        <v>0</v>
      </c>
      <c r="BW19" s="10">
        <v>6.9089999999999998</v>
      </c>
      <c r="BX19" s="13">
        <v>0.45400000000000001</v>
      </c>
      <c r="BY19" s="13">
        <v>0.95899999999999996</v>
      </c>
      <c r="BZ19" s="13">
        <v>14.666</v>
      </c>
      <c r="CA19" s="13">
        <v>13.009</v>
      </c>
      <c r="CB19" s="13">
        <v>1.7789999999999999</v>
      </c>
      <c r="CC19" s="13">
        <v>0</v>
      </c>
      <c r="CD19" s="13">
        <v>1.474</v>
      </c>
      <c r="CE19" s="13">
        <v>10.494999999999999</v>
      </c>
      <c r="CF19" s="13">
        <v>1.38</v>
      </c>
      <c r="CG19" s="13">
        <v>0</v>
      </c>
      <c r="CH19" s="13">
        <v>0</v>
      </c>
      <c r="CI19" s="13">
        <v>0</v>
      </c>
      <c r="CJ19" s="13">
        <v>0</v>
      </c>
      <c r="CK19" s="13">
        <v>35.453000000000003</v>
      </c>
      <c r="CL19" s="13">
        <v>2.214</v>
      </c>
      <c r="CM19" s="13">
        <v>3.2389999999999999</v>
      </c>
      <c r="CN19" s="13">
        <v>0</v>
      </c>
      <c r="CO19" s="13">
        <v>8.423</v>
      </c>
      <c r="CP19" s="13">
        <v>1.948</v>
      </c>
      <c r="CQ19" s="13">
        <v>0</v>
      </c>
      <c r="CR19" s="13">
        <v>9.1539999999999999</v>
      </c>
      <c r="CS19" s="10">
        <v>3.9289999999999998</v>
      </c>
      <c r="CT19" s="10">
        <v>0.63</v>
      </c>
      <c r="CU19" s="10">
        <v>2.4900000000000002</v>
      </c>
      <c r="CV19" s="10">
        <v>0</v>
      </c>
      <c r="CW19" s="10">
        <v>0</v>
      </c>
      <c r="CX19" s="10">
        <v>12.345000000000001</v>
      </c>
      <c r="CY19" s="10">
        <v>0.68100000000000005</v>
      </c>
      <c r="CZ19" s="10">
        <v>3.6549999999999998</v>
      </c>
    </row>
    <row r="20" spans="2:104" x14ac:dyDescent="0.25">
      <c r="B20" s="5" t="s">
        <v>119</v>
      </c>
      <c r="C20" s="10">
        <v>21.366</v>
      </c>
      <c r="D20" s="10">
        <v>0.91900000000000004</v>
      </c>
      <c r="E20" s="10">
        <v>0.65900000000000003</v>
      </c>
      <c r="F20" s="10">
        <v>0</v>
      </c>
      <c r="G20" s="10">
        <v>0.254</v>
      </c>
      <c r="H20" s="10">
        <v>7.8120000000000003</v>
      </c>
      <c r="I20" s="10">
        <v>0</v>
      </c>
      <c r="J20" s="10">
        <v>21.372</v>
      </c>
      <c r="K20" s="10">
        <v>30.832000000000001</v>
      </c>
      <c r="L20" s="10">
        <v>0</v>
      </c>
      <c r="M20" s="13">
        <v>3.996</v>
      </c>
      <c r="N20" s="13">
        <v>0</v>
      </c>
      <c r="O20" s="13">
        <v>0</v>
      </c>
      <c r="P20" s="13">
        <v>0.56799999999999995</v>
      </c>
      <c r="Q20" s="13">
        <v>0</v>
      </c>
      <c r="R20" s="13">
        <v>1.718</v>
      </c>
      <c r="S20" s="13">
        <v>1.41</v>
      </c>
      <c r="T20" s="13">
        <v>2.1629999999999998</v>
      </c>
      <c r="U20" s="13">
        <v>2.794</v>
      </c>
      <c r="V20" s="13">
        <v>1.671</v>
      </c>
      <c r="W20" s="13">
        <v>0</v>
      </c>
      <c r="X20" s="13">
        <v>0</v>
      </c>
      <c r="Y20" s="13">
        <v>0</v>
      </c>
      <c r="Z20" s="13">
        <v>2.3959999999999999</v>
      </c>
      <c r="AA20" s="13">
        <v>9.9819999999999993</v>
      </c>
      <c r="AB20" s="13">
        <v>14.532999999999999</v>
      </c>
      <c r="AC20" s="13">
        <v>0</v>
      </c>
      <c r="AD20" s="13">
        <v>8.7149999999999999</v>
      </c>
      <c r="AE20" s="13">
        <v>27.149000000000001</v>
      </c>
      <c r="AF20" s="13">
        <v>2.77</v>
      </c>
      <c r="AG20" s="13">
        <v>0.627</v>
      </c>
      <c r="AH20" s="13">
        <v>0.98</v>
      </c>
      <c r="AI20" s="13">
        <v>0</v>
      </c>
      <c r="AJ20" s="13">
        <v>3.262</v>
      </c>
      <c r="AK20" s="13">
        <v>11.53</v>
      </c>
      <c r="AL20" s="13">
        <v>2.11</v>
      </c>
      <c r="AM20" s="13">
        <v>4.1909999999999998</v>
      </c>
      <c r="AN20" s="13">
        <v>0</v>
      </c>
      <c r="AO20" s="13">
        <v>0</v>
      </c>
      <c r="AP20" s="13">
        <v>9.407</v>
      </c>
      <c r="AQ20" s="13">
        <v>11.581</v>
      </c>
      <c r="AR20" s="10">
        <v>21.248000000000001</v>
      </c>
      <c r="AS20" s="10">
        <v>19.181999999999999</v>
      </c>
      <c r="AT20" s="10">
        <v>0</v>
      </c>
      <c r="AU20" s="10">
        <v>9.1219999999999999</v>
      </c>
      <c r="AV20" s="10">
        <v>0</v>
      </c>
      <c r="AW20" s="10">
        <v>1.905</v>
      </c>
      <c r="AX20" s="10">
        <v>0.22900000000000001</v>
      </c>
      <c r="AY20" s="10">
        <v>0</v>
      </c>
      <c r="AZ20" s="10">
        <v>17.771000000000001</v>
      </c>
      <c r="BA20" s="13">
        <v>3.819</v>
      </c>
      <c r="BB20" s="13">
        <v>1.2949999999999999</v>
      </c>
      <c r="BC20" s="13">
        <v>2.1880000000000002</v>
      </c>
      <c r="BD20" s="13">
        <v>0</v>
      </c>
      <c r="BE20" s="13">
        <v>0.29799999999999999</v>
      </c>
      <c r="BF20" s="13">
        <v>5.3150000000000004</v>
      </c>
      <c r="BG20" s="13">
        <v>3.9279999999999999</v>
      </c>
      <c r="BH20" s="13">
        <v>0.66200000000000003</v>
      </c>
      <c r="BI20" s="10">
        <v>0.14799999999999999</v>
      </c>
      <c r="BJ20" s="10">
        <v>2.6219999999999999</v>
      </c>
      <c r="BK20" s="10">
        <v>0.25</v>
      </c>
      <c r="BL20" s="13">
        <v>17.452999999999999</v>
      </c>
      <c r="BM20" s="13">
        <v>12.381</v>
      </c>
      <c r="BN20" s="13">
        <v>0</v>
      </c>
      <c r="BO20" s="13">
        <v>0</v>
      </c>
      <c r="BP20" s="13">
        <v>19.443000000000001</v>
      </c>
      <c r="BQ20" s="13">
        <v>0</v>
      </c>
      <c r="BR20" s="10">
        <v>0</v>
      </c>
      <c r="BS20" s="10">
        <v>1.7989999999999999</v>
      </c>
      <c r="BT20" s="10">
        <v>0</v>
      </c>
      <c r="BU20" s="10">
        <v>0</v>
      </c>
      <c r="BV20" s="10">
        <v>0</v>
      </c>
      <c r="BW20" s="10">
        <v>2.3029999999999999</v>
      </c>
      <c r="BX20" s="13">
        <v>0.22700000000000001</v>
      </c>
      <c r="BY20" s="13">
        <v>0.17699999999999999</v>
      </c>
      <c r="BZ20" s="13">
        <v>6.4969999999999999</v>
      </c>
      <c r="CA20" s="13">
        <v>1.1859999999999999</v>
      </c>
      <c r="CB20" s="13">
        <v>7.407</v>
      </c>
      <c r="CC20" s="13">
        <v>6.1769999999999996</v>
      </c>
      <c r="CD20" s="13">
        <v>1.9259999999999999</v>
      </c>
      <c r="CE20" s="13">
        <v>0</v>
      </c>
      <c r="CF20" s="13">
        <v>12.247999999999999</v>
      </c>
      <c r="CG20" s="13">
        <v>11.624000000000001</v>
      </c>
      <c r="CH20" s="13">
        <v>1.3979999999999999</v>
      </c>
      <c r="CI20" s="13">
        <v>5.04</v>
      </c>
      <c r="CJ20" s="13">
        <v>1.9279999999999999</v>
      </c>
      <c r="CK20" s="13">
        <v>8.91</v>
      </c>
      <c r="CL20" s="13">
        <v>2.3239999999999998</v>
      </c>
      <c r="CM20" s="13">
        <v>2.9990000000000001</v>
      </c>
      <c r="CN20" s="13">
        <v>1.91</v>
      </c>
      <c r="CO20" s="13">
        <v>3.218</v>
      </c>
      <c r="CP20" s="13">
        <v>1.948</v>
      </c>
      <c r="CQ20" s="13">
        <v>0</v>
      </c>
      <c r="CR20" s="13">
        <v>0</v>
      </c>
      <c r="CS20" s="10">
        <v>10.268000000000001</v>
      </c>
      <c r="CT20" s="10">
        <v>0</v>
      </c>
      <c r="CU20" s="10">
        <v>2.4900000000000002</v>
      </c>
      <c r="CV20" s="10">
        <v>2.3250000000000002</v>
      </c>
      <c r="CW20" s="10">
        <v>0</v>
      </c>
      <c r="CX20" s="10">
        <v>3.2970000000000002</v>
      </c>
      <c r="CY20" s="10">
        <v>0.68100000000000005</v>
      </c>
      <c r="CZ20" s="10">
        <v>1.218</v>
      </c>
    </row>
    <row r="21" spans="2:104" x14ac:dyDescent="0.25">
      <c r="B21" s="5" t="s">
        <v>118</v>
      </c>
      <c r="C21" s="10">
        <v>0</v>
      </c>
      <c r="D21" s="10">
        <v>0.86599999999999999</v>
      </c>
      <c r="E21" s="10">
        <v>0</v>
      </c>
      <c r="F21" s="10">
        <v>0</v>
      </c>
      <c r="G21" s="10">
        <v>0</v>
      </c>
      <c r="H21" s="10">
        <v>3.2469999999999999</v>
      </c>
      <c r="I21" s="10">
        <v>5.7350000000000003</v>
      </c>
      <c r="J21" s="10">
        <v>0.223</v>
      </c>
      <c r="K21" s="10">
        <v>27.413</v>
      </c>
      <c r="L21" s="10">
        <v>34.771999999999998</v>
      </c>
      <c r="M21" s="13">
        <v>0</v>
      </c>
      <c r="N21" s="13">
        <v>5.8289999999999997</v>
      </c>
      <c r="O21" s="13">
        <v>0.45800000000000002</v>
      </c>
      <c r="P21" s="13">
        <v>0.112</v>
      </c>
      <c r="Q21" s="13">
        <v>3.8519999999999999</v>
      </c>
      <c r="R21" s="13">
        <v>3.4630000000000001</v>
      </c>
      <c r="S21" s="13">
        <v>3.1520000000000001</v>
      </c>
      <c r="T21" s="13">
        <v>1.6220000000000001</v>
      </c>
      <c r="U21" s="13">
        <v>3.0630000000000002</v>
      </c>
      <c r="V21" s="13">
        <v>0</v>
      </c>
      <c r="W21" s="13">
        <v>2.2799999999999998</v>
      </c>
      <c r="X21" s="13">
        <v>0</v>
      </c>
      <c r="Y21" s="13">
        <v>0.318</v>
      </c>
      <c r="Z21" s="13">
        <v>1.9490000000000001</v>
      </c>
      <c r="AA21" s="13">
        <v>1.405</v>
      </c>
      <c r="AB21" s="13">
        <v>0.126</v>
      </c>
      <c r="AC21" s="13">
        <v>0.16700000000000001</v>
      </c>
      <c r="AD21" s="13">
        <v>0</v>
      </c>
      <c r="AE21" s="13">
        <v>5.8760000000000003</v>
      </c>
      <c r="AF21" s="13">
        <v>13.329000000000001</v>
      </c>
      <c r="AG21" s="13">
        <v>12.948</v>
      </c>
      <c r="AH21" s="13">
        <v>0.98</v>
      </c>
      <c r="AI21" s="13">
        <v>4.1379999999999999</v>
      </c>
      <c r="AJ21" s="13">
        <v>4.0750000000000002</v>
      </c>
      <c r="AK21" s="13">
        <v>0</v>
      </c>
      <c r="AL21" s="13">
        <v>11.53</v>
      </c>
      <c r="AM21" s="13">
        <v>0</v>
      </c>
      <c r="AN21" s="13">
        <v>0.625</v>
      </c>
      <c r="AO21" s="13">
        <v>16.018000000000001</v>
      </c>
      <c r="AP21" s="13">
        <v>5.9009999999999998</v>
      </c>
      <c r="AQ21" s="13">
        <v>18.632999999999999</v>
      </c>
      <c r="AR21" s="10">
        <v>18.306999999999999</v>
      </c>
      <c r="AS21" s="10">
        <v>5.6210000000000004</v>
      </c>
      <c r="AT21" s="10">
        <v>0</v>
      </c>
      <c r="AU21" s="10">
        <v>13.683</v>
      </c>
      <c r="AV21" s="10">
        <v>0</v>
      </c>
      <c r="AW21" s="10">
        <v>0</v>
      </c>
      <c r="AX21" s="10">
        <v>0.91600000000000004</v>
      </c>
      <c r="AY21" s="10">
        <v>2.6720000000000002</v>
      </c>
      <c r="AZ21" s="10">
        <v>0</v>
      </c>
      <c r="BA21" s="13">
        <v>1.7230000000000001</v>
      </c>
      <c r="BB21" s="13">
        <v>0</v>
      </c>
      <c r="BC21" s="13">
        <v>1.6339999999999999</v>
      </c>
      <c r="BD21" s="13">
        <v>0.16700000000000001</v>
      </c>
      <c r="BE21" s="13">
        <v>1.488</v>
      </c>
      <c r="BF21" s="13">
        <v>0</v>
      </c>
      <c r="BG21" s="13">
        <v>0</v>
      </c>
      <c r="BH21" s="13">
        <v>2.1970000000000001</v>
      </c>
      <c r="BI21" s="10">
        <v>10.907999999999999</v>
      </c>
      <c r="BJ21" s="10">
        <v>4.51</v>
      </c>
      <c r="BK21" s="10">
        <v>0</v>
      </c>
      <c r="BL21" s="13">
        <v>13.583</v>
      </c>
      <c r="BM21" s="13">
        <v>18.091000000000001</v>
      </c>
      <c r="BN21" s="13">
        <v>0</v>
      </c>
      <c r="BO21" s="13">
        <v>14.55</v>
      </c>
      <c r="BP21" s="13">
        <v>0</v>
      </c>
      <c r="BQ21" s="13">
        <v>0</v>
      </c>
      <c r="BR21" s="10">
        <v>1.532</v>
      </c>
      <c r="BS21" s="10">
        <v>0</v>
      </c>
      <c r="BT21" s="10">
        <v>2.1720000000000002</v>
      </c>
      <c r="BU21" s="10">
        <v>5.5570000000000004</v>
      </c>
      <c r="BV21" s="10">
        <v>0</v>
      </c>
      <c r="BW21" s="10">
        <v>4.6059999999999999</v>
      </c>
      <c r="BX21" s="13">
        <v>0.68200000000000005</v>
      </c>
      <c r="BY21" s="13">
        <v>0.83</v>
      </c>
      <c r="BZ21" s="13">
        <v>0</v>
      </c>
      <c r="CA21" s="13">
        <v>0</v>
      </c>
      <c r="CB21" s="13">
        <v>14.813000000000001</v>
      </c>
      <c r="CC21" s="13">
        <v>0</v>
      </c>
      <c r="CD21" s="13">
        <v>22.533999999999999</v>
      </c>
      <c r="CE21" s="13">
        <v>0</v>
      </c>
      <c r="CF21" s="13">
        <v>33.567</v>
      </c>
      <c r="CG21" s="13">
        <v>54.179000000000002</v>
      </c>
      <c r="CH21" s="13">
        <v>6.4249999999999998</v>
      </c>
      <c r="CI21" s="13">
        <v>2.149</v>
      </c>
      <c r="CJ21" s="13">
        <v>0</v>
      </c>
      <c r="CK21" s="13">
        <v>7.6349999999999998</v>
      </c>
      <c r="CL21" s="13">
        <v>0.89900000000000002</v>
      </c>
      <c r="CM21" s="13">
        <v>5.8440000000000003</v>
      </c>
      <c r="CN21" s="13">
        <v>7.1079999999999997</v>
      </c>
      <c r="CO21" s="13">
        <v>8.423</v>
      </c>
      <c r="CP21" s="13">
        <v>1.948</v>
      </c>
      <c r="CQ21" s="13">
        <v>1.4930000000000001</v>
      </c>
      <c r="CR21" s="13">
        <v>63.741</v>
      </c>
      <c r="CS21" s="10">
        <v>5.5359999999999996</v>
      </c>
      <c r="CT21" s="10">
        <v>6.3860000000000001</v>
      </c>
      <c r="CU21" s="10">
        <v>5.0880000000000001</v>
      </c>
      <c r="CV21" s="10">
        <v>0</v>
      </c>
      <c r="CW21" s="10">
        <v>14.218</v>
      </c>
      <c r="CX21" s="10">
        <v>0</v>
      </c>
      <c r="CY21" s="10">
        <v>3.569</v>
      </c>
      <c r="CZ21" s="10">
        <v>1.827</v>
      </c>
    </row>
    <row r="22" spans="2:104" x14ac:dyDescent="0.25">
      <c r="B22" s="5" t="s">
        <v>117</v>
      </c>
      <c r="C22" s="10">
        <v>0</v>
      </c>
      <c r="D22" s="10">
        <v>0</v>
      </c>
      <c r="E22" s="10">
        <v>0.65900000000000003</v>
      </c>
      <c r="F22" s="10">
        <v>3.806</v>
      </c>
      <c r="G22" s="10">
        <v>0.254</v>
      </c>
      <c r="H22" s="10">
        <v>0</v>
      </c>
      <c r="I22" s="10">
        <v>2.6360000000000001</v>
      </c>
      <c r="J22" s="10">
        <v>10.545</v>
      </c>
      <c r="K22" s="10">
        <v>0</v>
      </c>
      <c r="L22" s="10">
        <v>91.18</v>
      </c>
      <c r="M22" s="13">
        <v>5.8289999999999997</v>
      </c>
      <c r="N22" s="13">
        <v>3.4969999999999999</v>
      </c>
      <c r="O22" s="13">
        <v>0.22900000000000001</v>
      </c>
      <c r="P22" s="13">
        <v>0.224</v>
      </c>
      <c r="Q22" s="13">
        <v>1.391</v>
      </c>
      <c r="R22" s="13">
        <v>6.9249999999999998</v>
      </c>
      <c r="S22" s="13">
        <v>0</v>
      </c>
      <c r="T22" s="13">
        <v>1.8979999999999999</v>
      </c>
      <c r="U22" s="13">
        <v>1.837</v>
      </c>
      <c r="V22" s="13">
        <v>0</v>
      </c>
      <c r="W22" s="13">
        <v>3.056</v>
      </c>
      <c r="X22" s="13">
        <v>0</v>
      </c>
      <c r="Y22" s="13">
        <v>0.106</v>
      </c>
      <c r="Z22" s="13">
        <v>3.63</v>
      </c>
      <c r="AA22" s="13">
        <v>0</v>
      </c>
      <c r="AB22" s="13">
        <v>18.251999999999999</v>
      </c>
      <c r="AC22" s="13">
        <v>1.8520000000000001</v>
      </c>
      <c r="AD22" s="13">
        <v>3.6589999999999998</v>
      </c>
      <c r="AE22" s="13">
        <v>5.8760000000000003</v>
      </c>
      <c r="AF22" s="13">
        <v>8.26</v>
      </c>
      <c r="AG22" s="13">
        <v>0</v>
      </c>
      <c r="AH22" s="13">
        <v>0</v>
      </c>
      <c r="AI22" s="13">
        <v>2.069</v>
      </c>
      <c r="AJ22" s="13">
        <v>0</v>
      </c>
      <c r="AK22" s="13">
        <v>0</v>
      </c>
      <c r="AL22" s="13">
        <v>0</v>
      </c>
      <c r="AM22" s="13">
        <v>3.6259999999999999</v>
      </c>
      <c r="AN22" s="13">
        <v>0</v>
      </c>
      <c r="AO22" s="13">
        <v>0</v>
      </c>
      <c r="AP22" s="13">
        <v>4.766</v>
      </c>
      <c r="AQ22" s="13">
        <v>7.8440000000000003</v>
      </c>
      <c r="AR22" s="10">
        <v>17.103999999999999</v>
      </c>
      <c r="AS22" s="10">
        <v>13.872999999999999</v>
      </c>
      <c r="AT22" s="10">
        <v>5.0529999999999999</v>
      </c>
      <c r="AU22" s="10">
        <v>4.5609999999999999</v>
      </c>
      <c r="AV22" s="10">
        <v>0</v>
      </c>
      <c r="AW22" s="10">
        <v>0</v>
      </c>
      <c r="AX22" s="10">
        <v>0.22900000000000001</v>
      </c>
      <c r="AY22" s="10">
        <v>1.363</v>
      </c>
      <c r="AZ22" s="10">
        <v>4.3860000000000001</v>
      </c>
      <c r="BA22" s="13">
        <v>1.0469999999999999</v>
      </c>
      <c r="BB22" s="13">
        <v>0</v>
      </c>
      <c r="BC22" s="13">
        <v>0</v>
      </c>
      <c r="BD22" s="13">
        <v>0</v>
      </c>
      <c r="BE22" s="13">
        <v>0.68100000000000005</v>
      </c>
      <c r="BF22" s="13">
        <v>3.4119999999999999</v>
      </c>
      <c r="BG22" s="13">
        <v>5.8920000000000003</v>
      </c>
      <c r="BH22" s="13">
        <v>0</v>
      </c>
      <c r="BI22" s="10">
        <v>1.579</v>
      </c>
      <c r="BJ22" s="10">
        <v>0</v>
      </c>
      <c r="BK22" s="10">
        <v>6.51</v>
      </c>
      <c r="BL22" s="13">
        <v>0</v>
      </c>
      <c r="BM22" s="13">
        <v>14.211</v>
      </c>
      <c r="BN22" s="13">
        <v>0</v>
      </c>
      <c r="BO22" s="13">
        <v>32.968000000000004</v>
      </c>
      <c r="BP22" s="13">
        <v>15.475</v>
      </c>
      <c r="BQ22" s="13">
        <v>9.1780000000000008</v>
      </c>
      <c r="BR22" s="10">
        <v>0</v>
      </c>
      <c r="BS22" s="10">
        <v>0</v>
      </c>
      <c r="BT22" s="10">
        <v>0</v>
      </c>
      <c r="BU22" s="10">
        <v>0</v>
      </c>
      <c r="BV22" s="10">
        <v>6.032</v>
      </c>
      <c r="BW22" s="10">
        <v>0</v>
      </c>
      <c r="BX22" s="13">
        <v>0.45400000000000001</v>
      </c>
      <c r="BY22" s="13">
        <v>0.316</v>
      </c>
      <c r="BZ22" s="13">
        <v>0</v>
      </c>
      <c r="CA22" s="13">
        <v>13.009</v>
      </c>
      <c r="CB22" s="13">
        <v>0</v>
      </c>
      <c r="CC22" s="13">
        <v>0.95</v>
      </c>
      <c r="CD22" s="13">
        <v>56.540999999999997</v>
      </c>
      <c r="CE22" s="13">
        <v>0</v>
      </c>
      <c r="CF22" s="13">
        <v>10.813000000000001</v>
      </c>
      <c r="CG22" s="13">
        <v>27.041</v>
      </c>
      <c r="CH22" s="13">
        <v>0</v>
      </c>
      <c r="CI22" s="13">
        <v>0</v>
      </c>
      <c r="CJ22" s="13">
        <v>3.6240000000000001</v>
      </c>
      <c r="CK22" s="13">
        <v>5.0030000000000001</v>
      </c>
      <c r="CL22" s="13">
        <v>0.34899999999999998</v>
      </c>
      <c r="CM22" s="13">
        <v>0</v>
      </c>
      <c r="CN22" s="13">
        <v>0</v>
      </c>
      <c r="CO22" s="13">
        <v>5.7839999999999998</v>
      </c>
      <c r="CP22" s="13">
        <v>5.8449999999999998</v>
      </c>
      <c r="CQ22" s="13">
        <v>2.5590000000000002</v>
      </c>
      <c r="CR22" s="13">
        <v>0</v>
      </c>
      <c r="CS22" s="10">
        <v>9.0860000000000003</v>
      </c>
      <c r="CT22" s="10">
        <v>3.4860000000000002</v>
      </c>
      <c r="CU22" s="10">
        <v>0</v>
      </c>
      <c r="CV22" s="10">
        <v>0</v>
      </c>
      <c r="CW22" s="10">
        <v>7.97</v>
      </c>
      <c r="CX22" s="10">
        <v>43.953000000000003</v>
      </c>
      <c r="CY22" s="10">
        <v>1.19</v>
      </c>
      <c r="CZ22" s="10">
        <v>0</v>
      </c>
    </row>
    <row r="23" spans="2:104" x14ac:dyDescent="0.25">
      <c r="B23" s="5" t="s">
        <v>116</v>
      </c>
      <c r="C23" s="10">
        <v>2.3660000000000001</v>
      </c>
      <c r="D23" s="10">
        <v>0</v>
      </c>
      <c r="E23" s="10">
        <v>0</v>
      </c>
      <c r="F23" s="10">
        <v>0</v>
      </c>
      <c r="G23" s="10">
        <v>0.71799999999999997</v>
      </c>
      <c r="H23" s="10">
        <v>12.986000000000001</v>
      </c>
      <c r="I23" s="10">
        <v>0</v>
      </c>
      <c r="J23" s="10">
        <v>5.2729999999999997</v>
      </c>
      <c r="K23" s="10">
        <v>0</v>
      </c>
      <c r="L23" s="10">
        <v>0</v>
      </c>
      <c r="M23" s="13">
        <v>3.4969999999999999</v>
      </c>
      <c r="N23" s="13">
        <v>0</v>
      </c>
      <c r="O23" s="13">
        <v>0.22900000000000001</v>
      </c>
      <c r="P23" s="13">
        <v>0</v>
      </c>
      <c r="Q23" s="13">
        <v>0</v>
      </c>
      <c r="R23" s="13">
        <v>6.9249999999999998</v>
      </c>
      <c r="S23" s="13">
        <v>0</v>
      </c>
      <c r="T23" s="13">
        <v>1.8979999999999999</v>
      </c>
      <c r="U23" s="13">
        <v>1.8959999999999999</v>
      </c>
      <c r="V23" s="13">
        <v>3.3420000000000001</v>
      </c>
      <c r="W23" s="13">
        <v>2.2919999999999998</v>
      </c>
      <c r="X23" s="13">
        <v>4.0380000000000003</v>
      </c>
      <c r="Y23" s="13">
        <v>0.106</v>
      </c>
      <c r="Z23" s="13">
        <v>4.6139999999999999</v>
      </c>
      <c r="AA23" s="13">
        <v>5.8570000000000002</v>
      </c>
      <c r="AB23" s="13">
        <v>0</v>
      </c>
      <c r="AC23" s="13">
        <v>0</v>
      </c>
      <c r="AD23" s="13">
        <v>0</v>
      </c>
      <c r="AE23" s="13">
        <v>16.905000000000001</v>
      </c>
      <c r="AF23" s="13">
        <v>4.2750000000000004</v>
      </c>
      <c r="AG23" s="13">
        <v>0</v>
      </c>
      <c r="AH23" s="13">
        <v>0.16700000000000001</v>
      </c>
      <c r="AI23" s="13">
        <v>2.069</v>
      </c>
      <c r="AJ23" s="13">
        <v>0</v>
      </c>
      <c r="AK23" s="13">
        <v>0.33900000000000002</v>
      </c>
      <c r="AL23" s="13">
        <v>0</v>
      </c>
      <c r="AM23" s="13">
        <v>18.13</v>
      </c>
      <c r="AN23" s="13">
        <v>8.6560000000000006</v>
      </c>
      <c r="AO23" s="13">
        <v>16.771999999999998</v>
      </c>
      <c r="AP23" s="13">
        <v>10.363</v>
      </c>
      <c r="AQ23" s="13">
        <v>14.672000000000001</v>
      </c>
      <c r="AR23" s="10">
        <v>1.9379999999999999</v>
      </c>
      <c r="AS23" s="10">
        <v>7.367</v>
      </c>
      <c r="AT23" s="10">
        <v>15.159000000000001</v>
      </c>
      <c r="AU23" s="10">
        <v>13.683</v>
      </c>
      <c r="AV23" s="10">
        <v>12.661</v>
      </c>
      <c r="AW23" s="10">
        <v>4.3479999999999999</v>
      </c>
      <c r="AX23" s="10">
        <v>0.45800000000000002</v>
      </c>
      <c r="AY23" s="10">
        <v>0</v>
      </c>
      <c r="AZ23" s="10">
        <v>0</v>
      </c>
      <c r="BA23" s="13">
        <v>2.403</v>
      </c>
      <c r="BB23" s="13">
        <v>0</v>
      </c>
      <c r="BC23" s="13">
        <v>0.17899999999999999</v>
      </c>
      <c r="BD23" s="13">
        <v>0.16700000000000001</v>
      </c>
      <c r="BE23" s="13">
        <v>0</v>
      </c>
      <c r="BF23" s="13">
        <v>0</v>
      </c>
      <c r="BG23" s="13">
        <v>3.6850000000000001</v>
      </c>
      <c r="BH23" s="13">
        <v>0</v>
      </c>
      <c r="BI23" s="10">
        <v>4.7380000000000004</v>
      </c>
      <c r="BJ23" s="10">
        <v>5.2009999999999996</v>
      </c>
      <c r="BK23" s="10">
        <v>0</v>
      </c>
      <c r="BL23" s="13">
        <v>12.481999999999999</v>
      </c>
      <c r="BM23" s="13">
        <v>23.082999999999998</v>
      </c>
      <c r="BN23" s="13">
        <v>0</v>
      </c>
      <c r="BO23" s="13">
        <v>0</v>
      </c>
      <c r="BP23" s="13">
        <v>13.491</v>
      </c>
      <c r="BQ23" s="13">
        <v>0</v>
      </c>
      <c r="BR23" s="10">
        <v>0.61499999999999999</v>
      </c>
      <c r="BS23" s="10">
        <v>3.016</v>
      </c>
      <c r="BT23" s="10">
        <v>6.4379999999999997</v>
      </c>
      <c r="BU23" s="10">
        <v>0</v>
      </c>
      <c r="BV23" s="10">
        <v>0</v>
      </c>
      <c r="BW23" s="10">
        <v>0</v>
      </c>
      <c r="BX23" s="13">
        <v>1.24</v>
      </c>
      <c r="BY23" s="13">
        <v>0.97699999999999998</v>
      </c>
      <c r="BZ23" s="13">
        <v>0</v>
      </c>
      <c r="CA23" s="13">
        <v>0</v>
      </c>
      <c r="CB23" s="13">
        <v>12.615</v>
      </c>
      <c r="CC23" s="13">
        <v>3.0950000000000002</v>
      </c>
      <c r="CD23" s="13">
        <v>10.928000000000001</v>
      </c>
      <c r="CE23" s="13">
        <v>18.978999999999999</v>
      </c>
      <c r="CF23" s="13">
        <v>13.492000000000001</v>
      </c>
      <c r="CG23" s="13">
        <v>39.156999999999996</v>
      </c>
      <c r="CH23" s="13">
        <v>0</v>
      </c>
      <c r="CI23" s="13">
        <v>0</v>
      </c>
      <c r="CJ23" s="13">
        <v>0</v>
      </c>
      <c r="CK23" s="13">
        <v>28.681000000000001</v>
      </c>
      <c r="CL23" s="13">
        <v>0</v>
      </c>
      <c r="CM23" s="13">
        <v>0</v>
      </c>
      <c r="CN23" s="13">
        <v>2.7719999999999998</v>
      </c>
      <c r="CO23" s="13">
        <v>0</v>
      </c>
      <c r="CP23" s="13">
        <v>3.8969999999999998</v>
      </c>
      <c r="CQ23" s="13">
        <v>2.4980000000000002</v>
      </c>
      <c r="CR23" s="13">
        <v>3.8050000000000002</v>
      </c>
      <c r="CS23" s="10">
        <v>10.994999999999999</v>
      </c>
      <c r="CT23" s="10">
        <v>4.859</v>
      </c>
      <c r="CU23" s="10">
        <v>2.4900000000000002</v>
      </c>
      <c r="CV23" s="10">
        <v>1.1950000000000001</v>
      </c>
      <c r="CW23" s="10">
        <v>0</v>
      </c>
      <c r="CX23" s="10">
        <v>15.09</v>
      </c>
      <c r="CY23" s="10">
        <v>1.19</v>
      </c>
      <c r="CZ23" s="10">
        <v>1.218</v>
      </c>
    </row>
    <row r="24" spans="2:104" x14ac:dyDescent="0.25">
      <c r="B24" s="5" t="s">
        <v>115</v>
      </c>
      <c r="C24" s="10">
        <v>24.532</v>
      </c>
      <c r="D24" s="10">
        <v>0</v>
      </c>
      <c r="E24" s="10">
        <v>0.434</v>
      </c>
      <c r="F24" s="10">
        <v>0</v>
      </c>
      <c r="G24" s="10">
        <v>0</v>
      </c>
      <c r="H24" s="10">
        <v>0</v>
      </c>
      <c r="I24" s="10">
        <v>18.582999999999998</v>
      </c>
      <c r="J24" s="10">
        <v>0</v>
      </c>
      <c r="K24" s="10">
        <v>41.119</v>
      </c>
      <c r="L24" s="10">
        <v>0</v>
      </c>
      <c r="M24" s="13">
        <v>0</v>
      </c>
      <c r="N24" s="13">
        <v>3.4969999999999999</v>
      </c>
      <c r="O24" s="13">
        <v>0</v>
      </c>
      <c r="P24" s="13">
        <v>0</v>
      </c>
      <c r="Q24" s="13">
        <v>0</v>
      </c>
      <c r="R24" s="13">
        <v>5.194</v>
      </c>
      <c r="S24" s="13">
        <v>0</v>
      </c>
      <c r="T24" s="13">
        <v>2.847</v>
      </c>
      <c r="U24" s="13">
        <v>3.2160000000000002</v>
      </c>
      <c r="V24" s="13">
        <v>1.671</v>
      </c>
      <c r="W24" s="13">
        <v>0.76400000000000001</v>
      </c>
      <c r="X24" s="13">
        <v>0.75600000000000001</v>
      </c>
      <c r="Y24" s="13">
        <v>1.482</v>
      </c>
      <c r="Z24" s="13">
        <v>0</v>
      </c>
      <c r="AA24" s="13">
        <v>17.57</v>
      </c>
      <c r="AB24" s="13">
        <v>0</v>
      </c>
      <c r="AC24" s="13">
        <v>0.79600000000000004</v>
      </c>
      <c r="AD24" s="13">
        <v>0</v>
      </c>
      <c r="AE24" s="13">
        <v>18.004999999999999</v>
      </c>
      <c r="AF24" s="13">
        <v>4.2779999999999996</v>
      </c>
      <c r="AG24" s="13">
        <v>20.035</v>
      </c>
      <c r="AH24" s="13">
        <v>0.16700000000000001</v>
      </c>
      <c r="AI24" s="13">
        <v>0</v>
      </c>
      <c r="AJ24" s="13">
        <v>3.262</v>
      </c>
      <c r="AK24" s="13">
        <v>0.438</v>
      </c>
      <c r="AL24" s="13">
        <v>0.33900000000000002</v>
      </c>
      <c r="AM24" s="13">
        <v>0</v>
      </c>
      <c r="AN24" s="13">
        <v>3.3420000000000001</v>
      </c>
      <c r="AO24" s="13">
        <v>6.8719999999999999</v>
      </c>
      <c r="AP24" s="13">
        <v>2.1659999999999999</v>
      </c>
      <c r="AQ24" s="13">
        <v>23.532</v>
      </c>
      <c r="AR24" s="10">
        <v>20.061</v>
      </c>
      <c r="AS24" s="10">
        <v>6.0650000000000004</v>
      </c>
      <c r="AT24" s="10">
        <v>5.0529999999999999</v>
      </c>
      <c r="AU24" s="10">
        <v>6.7539999999999996</v>
      </c>
      <c r="AV24" s="10">
        <v>0</v>
      </c>
      <c r="AW24" s="10">
        <v>3.504</v>
      </c>
      <c r="AX24" s="10">
        <v>0.45800000000000002</v>
      </c>
      <c r="AY24" s="10">
        <v>0</v>
      </c>
      <c r="AZ24" s="10">
        <v>9.984</v>
      </c>
      <c r="BA24" s="13">
        <v>0</v>
      </c>
      <c r="BB24" s="13">
        <v>0</v>
      </c>
      <c r="BC24" s="13">
        <v>0</v>
      </c>
      <c r="BD24" s="13">
        <v>0.501</v>
      </c>
      <c r="BE24" s="13">
        <v>0.34</v>
      </c>
      <c r="BF24" s="13">
        <v>0</v>
      </c>
      <c r="BG24" s="13">
        <v>0</v>
      </c>
      <c r="BH24" s="13">
        <v>0</v>
      </c>
      <c r="BI24" s="10">
        <v>3.1589999999999998</v>
      </c>
      <c r="BJ24" s="10">
        <v>0</v>
      </c>
      <c r="BK24" s="10">
        <v>0.4</v>
      </c>
      <c r="BL24" s="13">
        <v>0</v>
      </c>
      <c r="BM24" s="13">
        <v>0</v>
      </c>
      <c r="BN24" s="13">
        <v>25.792000000000002</v>
      </c>
      <c r="BO24" s="13">
        <v>12.821</v>
      </c>
      <c r="BP24" s="13">
        <v>24.338000000000001</v>
      </c>
      <c r="BQ24" s="13">
        <v>1.3660000000000001</v>
      </c>
      <c r="BR24" s="10">
        <v>2.9129999999999998</v>
      </c>
      <c r="BS24" s="10">
        <v>0</v>
      </c>
      <c r="BT24" s="10">
        <v>1.7989999999999999</v>
      </c>
      <c r="BU24" s="10">
        <v>0</v>
      </c>
      <c r="BV24" s="10">
        <v>0.74199999999999999</v>
      </c>
      <c r="BW24" s="10">
        <v>4.9530000000000003</v>
      </c>
      <c r="BX24" s="13">
        <v>0.747</v>
      </c>
      <c r="BY24" s="13">
        <v>0.35899999999999999</v>
      </c>
      <c r="BZ24" s="13">
        <v>1.3340000000000001</v>
      </c>
      <c r="CA24" s="13">
        <v>12.528</v>
      </c>
      <c r="CB24" s="13">
        <v>0</v>
      </c>
      <c r="CC24" s="13">
        <v>0</v>
      </c>
      <c r="CD24" s="13">
        <v>0</v>
      </c>
      <c r="CE24" s="13">
        <v>5.1660000000000004</v>
      </c>
      <c r="CF24" s="13">
        <v>7.5869999999999997</v>
      </c>
      <c r="CG24" s="13">
        <v>2.722</v>
      </c>
      <c r="CH24" s="13">
        <v>1.3160000000000001</v>
      </c>
      <c r="CI24" s="13">
        <v>2.149</v>
      </c>
      <c r="CJ24" s="13">
        <v>0</v>
      </c>
      <c r="CK24" s="13">
        <v>9.7880000000000003</v>
      </c>
      <c r="CL24" s="13">
        <v>0.64</v>
      </c>
      <c r="CM24" s="13">
        <v>0.127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0">
        <v>6.391</v>
      </c>
      <c r="CT24" s="10">
        <v>3.0529999999999999</v>
      </c>
      <c r="CU24" s="10">
        <v>2.9390000000000001</v>
      </c>
      <c r="CV24" s="10">
        <v>1.792</v>
      </c>
      <c r="CW24" s="10">
        <v>0</v>
      </c>
      <c r="CX24" s="10">
        <v>21.853999999999999</v>
      </c>
      <c r="CY24" s="10">
        <v>0</v>
      </c>
      <c r="CZ24" s="10">
        <v>1.349</v>
      </c>
    </row>
    <row r="25" spans="2:104" x14ac:dyDescent="0.25">
      <c r="B25" s="5" t="s">
        <v>114</v>
      </c>
      <c r="C25" s="10">
        <v>91.834999999999994</v>
      </c>
      <c r="D25" s="10">
        <v>0.223</v>
      </c>
      <c r="E25" s="10">
        <v>0</v>
      </c>
      <c r="F25" s="10">
        <v>0</v>
      </c>
      <c r="G25" s="10">
        <v>0.71799999999999997</v>
      </c>
      <c r="H25" s="10">
        <v>0</v>
      </c>
      <c r="I25" s="10">
        <v>9.2910000000000004</v>
      </c>
      <c r="J25" s="10">
        <v>5.7350000000000003</v>
      </c>
      <c r="K25" s="10">
        <v>13.811999999999999</v>
      </c>
      <c r="L25" s="10">
        <v>52.853999999999999</v>
      </c>
      <c r="M25" s="13">
        <v>3.4969999999999999</v>
      </c>
      <c r="N25" s="13">
        <v>2.331</v>
      </c>
      <c r="O25" s="13">
        <v>0.76200000000000001</v>
      </c>
      <c r="P25" s="13">
        <v>0</v>
      </c>
      <c r="Q25" s="13">
        <v>0</v>
      </c>
      <c r="R25" s="13">
        <v>0</v>
      </c>
      <c r="S25" s="13">
        <v>1.079</v>
      </c>
      <c r="T25" s="13">
        <v>0.94899999999999995</v>
      </c>
      <c r="U25" s="13">
        <v>2.1749999999999998</v>
      </c>
      <c r="V25" s="13">
        <v>5.3650000000000002</v>
      </c>
      <c r="W25" s="13">
        <v>3.056</v>
      </c>
      <c r="X25" s="13">
        <v>0.378</v>
      </c>
      <c r="Y25" s="13">
        <v>0.29599999999999999</v>
      </c>
      <c r="Z25" s="13">
        <v>4.2409999999999997</v>
      </c>
      <c r="AA25" s="13">
        <v>6.6929999999999996</v>
      </c>
      <c r="AB25" s="13">
        <v>0</v>
      </c>
      <c r="AC25" s="13">
        <v>0</v>
      </c>
      <c r="AD25" s="13">
        <v>0</v>
      </c>
      <c r="AE25" s="13">
        <v>8.4559999999999995</v>
      </c>
      <c r="AF25" s="13">
        <v>5.73</v>
      </c>
      <c r="AG25" s="13">
        <v>0.52800000000000002</v>
      </c>
      <c r="AH25" s="13">
        <v>0.5</v>
      </c>
      <c r="AI25" s="13">
        <v>5.3319999999999999</v>
      </c>
      <c r="AJ25" s="13">
        <v>0.90600000000000003</v>
      </c>
      <c r="AK25" s="13">
        <v>0</v>
      </c>
      <c r="AL25" s="13">
        <v>0.438</v>
      </c>
      <c r="AM25" s="13">
        <v>3.6259999999999999</v>
      </c>
      <c r="AN25" s="13">
        <v>0</v>
      </c>
      <c r="AO25" s="13">
        <v>15.805999999999999</v>
      </c>
      <c r="AP25" s="13">
        <v>17.510999999999999</v>
      </c>
      <c r="AQ25" s="13">
        <v>15.688000000000001</v>
      </c>
      <c r="AR25" s="10">
        <v>0</v>
      </c>
      <c r="AS25" s="10">
        <v>18.837</v>
      </c>
      <c r="AT25" s="10">
        <v>0</v>
      </c>
      <c r="AU25" s="10">
        <v>6.7539999999999996</v>
      </c>
      <c r="AV25" s="10">
        <v>6.4130000000000003</v>
      </c>
      <c r="AW25" s="10">
        <v>5.5</v>
      </c>
      <c r="AX25" s="10">
        <v>0.26900000000000002</v>
      </c>
      <c r="AY25" s="10">
        <v>2.726</v>
      </c>
      <c r="AZ25" s="10">
        <v>9.984</v>
      </c>
      <c r="BA25" s="13">
        <v>0.93300000000000005</v>
      </c>
      <c r="BB25" s="13">
        <v>0</v>
      </c>
      <c r="BC25" s="13">
        <v>0</v>
      </c>
      <c r="BD25" s="13">
        <v>0.16700000000000001</v>
      </c>
      <c r="BE25" s="13">
        <v>1.3620000000000001</v>
      </c>
      <c r="BF25" s="13">
        <v>0</v>
      </c>
      <c r="BG25" s="13">
        <v>3.2970000000000002</v>
      </c>
      <c r="BH25" s="13">
        <v>4.8179999999999996</v>
      </c>
      <c r="BI25" s="10">
        <v>0</v>
      </c>
      <c r="BJ25" s="10">
        <v>0</v>
      </c>
      <c r="BK25" s="10">
        <v>6.4349999999999996</v>
      </c>
      <c r="BL25" s="13">
        <v>24.963000000000001</v>
      </c>
      <c r="BM25" s="13">
        <v>23.082999999999998</v>
      </c>
      <c r="BN25" s="13">
        <v>32.063000000000002</v>
      </c>
      <c r="BO25" s="13">
        <v>12.821</v>
      </c>
      <c r="BP25" s="13">
        <v>8.1129999999999995</v>
      </c>
      <c r="BQ25" s="13">
        <v>0</v>
      </c>
      <c r="BR25" s="10">
        <v>1.204</v>
      </c>
      <c r="BS25" s="10">
        <v>6.24</v>
      </c>
      <c r="BT25" s="10">
        <v>0</v>
      </c>
      <c r="BU25" s="10">
        <v>4.431</v>
      </c>
      <c r="BV25" s="10">
        <v>4.524</v>
      </c>
      <c r="BW25" s="10">
        <v>2.0190000000000001</v>
      </c>
      <c r="BX25" s="13">
        <v>1.494</v>
      </c>
      <c r="BY25" s="13">
        <v>0.34200000000000003</v>
      </c>
      <c r="BZ25" s="13">
        <v>0</v>
      </c>
      <c r="CA25" s="13">
        <v>0</v>
      </c>
      <c r="CB25" s="13">
        <v>0</v>
      </c>
      <c r="CC25" s="13">
        <v>0</v>
      </c>
      <c r="CD25" s="13">
        <v>8.7260000000000009</v>
      </c>
      <c r="CE25" s="13">
        <v>32.536999999999999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0.76500000000000001</v>
      </c>
      <c r="CM25" s="13">
        <v>8.3819999999999997</v>
      </c>
      <c r="CN25" s="13">
        <v>2.0299999999999998</v>
      </c>
      <c r="CO25" s="13">
        <v>0</v>
      </c>
      <c r="CP25" s="13">
        <v>0</v>
      </c>
      <c r="CQ25" s="13">
        <v>4.6130000000000004</v>
      </c>
      <c r="CR25" s="13">
        <v>0</v>
      </c>
      <c r="CS25" s="10">
        <v>0</v>
      </c>
      <c r="CT25" s="10">
        <v>1.115</v>
      </c>
      <c r="CU25" s="10">
        <v>2.8490000000000002</v>
      </c>
      <c r="CV25" s="10">
        <v>1.792</v>
      </c>
      <c r="CW25" s="10">
        <v>0</v>
      </c>
      <c r="CX25" s="10">
        <v>13.53</v>
      </c>
      <c r="CY25" s="10">
        <v>0</v>
      </c>
      <c r="CZ25" s="10">
        <v>0</v>
      </c>
    </row>
    <row r="26" spans="2:104" x14ac:dyDescent="0.25">
      <c r="B26" s="5" t="s">
        <v>113</v>
      </c>
      <c r="C26" s="10">
        <v>75.933999999999997</v>
      </c>
      <c r="D26" s="10">
        <v>2.3519999999999999</v>
      </c>
      <c r="E26" s="10">
        <v>1.3029999999999999</v>
      </c>
      <c r="F26" s="10">
        <v>4.3639999999999999</v>
      </c>
      <c r="G26" s="10">
        <v>0.52700000000000002</v>
      </c>
      <c r="H26" s="10">
        <v>0</v>
      </c>
      <c r="I26" s="10">
        <v>27.873999999999999</v>
      </c>
      <c r="J26" s="10">
        <v>2.6360000000000001</v>
      </c>
      <c r="K26" s="10">
        <v>0</v>
      </c>
      <c r="L26" s="10">
        <v>0</v>
      </c>
      <c r="M26" s="13">
        <v>2.331</v>
      </c>
      <c r="N26" s="13">
        <v>2.214</v>
      </c>
      <c r="O26" s="13">
        <v>0.254</v>
      </c>
      <c r="P26" s="13">
        <v>0.14000000000000001</v>
      </c>
      <c r="Q26" s="13">
        <v>2.0859999999999999</v>
      </c>
      <c r="R26" s="13">
        <v>0.313</v>
      </c>
      <c r="S26" s="13">
        <v>0</v>
      </c>
      <c r="T26" s="13">
        <v>1.423</v>
      </c>
      <c r="U26" s="13">
        <v>1.5489999999999999</v>
      </c>
      <c r="V26" s="13">
        <v>0</v>
      </c>
      <c r="W26" s="13">
        <v>0</v>
      </c>
      <c r="X26" s="13">
        <v>0.75600000000000001</v>
      </c>
      <c r="Y26" s="13">
        <v>0.59299999999999997</v>
      </c>
      <c r="Z26" s="13">
        <v>8.3040000000000003</v>
      </c>
      <c r="AA26" s="13">
        <v>6.4180000000000001</v>
      </c>
      <c r="AB26" s="13">
        <v>11.353</v>
      </c>
      <c r="AC26" s="13">
        <v>0.91700000000000004</v>
      </c>
      <c r="AD26" s="13">
        <v>0</v>
      </c>
      <c r="AE26" s="13">
        <v>0</v>
      </c>
      <c r="AF26" s="13">
        <v>4.72</v>
      </c>
      <c r="AG26" s="13">
        <v>9.8529999999999998</v>
      </c>
      <c r="AH26" s="13">
        <v>0.5</v>
      </c>
      <c r="AI26" s="13">
        <v>3.9990000000000001</v>
      </c>
      <c r="AJ26" s="13">
        <v>0</v>
      </c>
      <c r="AK26" s="13">
        <v>0.625</v>
      </c>
      <c r="AL26" s="13">
        <v>0</v>
      </c>
      <c r="AM26" s="13">
        <v>15.949</v>
      </c>
      <c r="AN26" s="13">
        <v>0</v>
      </c>
      <c r="AO26" s="13">
        <v>17.367999999999999</v>
      </c>
      <c r="AP26" s="13">
        <v>12.5</v>
      </c>
      <c r="AQ26" s="13">
        <v>0.71699999999999997</v>
      </c>
      <c r="AR26" s="10">
        <v>22.91</v>
      </c>
      <c r="AS26" s="10">
        <v>16.052</v>
      </c>
      <c r="AT26" s="10">
        <v>5.0529999999999999</v>
      </c>
      <c r="AU26" s="10">
        <v>13.509</v>
      </c>
      <c r="AV26" s="10">
        <v>4.2640000000000002</v>
      </c>
      <c r="AW26" s="10">
        <v>4.8819999999999997</v>
      </c>
      <c r="AX26" s="10">
        <v>0</v>
      </c>
      <c r="AY26" s="10">
        <v>0</v>
      </c>
      <c r="AZ26" s="10">
        <v>0</v>
      </c>
      <c r="BA26" s="13">
        <v>0</v>
      </c>
      <c r="BB26" s="13">
        <v>0</v>
      </c>
      <c r="BC26" s="13">
        <v>0</v>
      </c>
      <c r="BD26" s="13">
        <v>0.28899999999999998</v>
      </c>
      <c r="BE26" s="13">
        <v>0.34</v>
      </c>
      <c r="BF26" s="13">
        <v>6.8230000000000004</v>
      </c>
      <c r="BG26" s="13">
        <v>0</v>
      </c>
      <c r="BH26" s="13">
        <v>1.6060000000000001</v>
      </c>
      <c r="BI26" s="10">
        <v>6.04</v>
      </c>
      <c r="BJ26" s="10">
        <v>0</v>
      </c>
      <c r="BK26" s="10">
        <v>2.145</v>
      </c>
      <c r="BL26" s="13">
        <v>12.481999999999999</v>
      </c>
      <c r="BM26" s="13">
        <v>0</v>
      </c>
      <c r="BN26" s="13">
        <v>0</v>
      </c>
      <c r="BO26" s="13">
        <v>25.640999999999998</v>
      </c>
      <c r="BP26" s="13">
        <v>8.1129999999999995</v>
      </c>
      <c r="BQ26" s="13">
        <v>32.045999999999999</v>
      </c>
      <c r="BR26" s="10">
        <v>2.9830000000000001</v>
      </c>
      <c r="BS26" s="10">
        <v>2.08</v>
      </c>
      <c r="BT26" s="10">
        <v>0</v>
      </c>
      <c r="BU26" s="10">
        <v>0</v>
      </c>
      <c r="BV26" s="10">
        <v>0.74199999999999999</v>
      </c>
      <c r="BW26" s="10">
        <v>0</v>
      </c>
      <c r="BX26" s="13">
        <v>0</v>
      </c>
      <c r="BY26" s="13">
        <v>0.73899999999999999</v>
      </c>
      <c r="BZ26" s="13">
        <v>9.5009999999999994</v>
      </c>
      <c r="CA26" s="13">
        <v>0</v>
      </c>
      <c r="CB26" s="13">
        <v>0</v>
      </c>
      <c r="CC26" s="13">
        <v>2.794</v>
      </c>
      <c r="CD26" s="13">
        <v>3.254</v>
      </c>
      <c r="CE26" s="13">
        <v>0.65700000000000003</v>
      </c>
      <c r="CF26" s="13">
        <v>18.265999999999998</v>
      </c>
      <c r="CG26" s="13">
        <v>14.885999999999999</v>
      </c>
      <c r="CH26" s="13">
        <v>1.359</v>
      </c>
      <c r="CI26" s="13">
        <v>2.0030000000000001</v>
      </c>
      <c r="CJ26" s="13">
        <v>0.752</v>
      </c>
      <c r="CK26" s="13">
        <v>0</v>
      </c>
      <c r="CL26" s="13">
        <v>4.1619999999999999</v>
      </c>
      <c r="CM26" s="13">
        <v>2.794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0">
        <v>0</v>
      </c>
      <c r="CT26" s="10">
        <v>2.6419999999999999</v>
      </c>
      <c r="CU26" s="10">
        <v>0</v>
      </c>
      <c r="CV26" s="10">
        <v>1.1950000000000001</v>
      </c>
      <c r="CW26" s="10">
        <v>0</v>
      </c>
      <c r="CX26" s="10">
        <v>6.89</v>
      </c>
      <c r="CY26" s="10">
        <v>0</v>
      </c>
      <c r="CZ26" s="10">
        <v>1.349</v>
      </c>
    </row>
    <row r="27" spans="2:104" x14ac:dyDescent="0.25">
      <c r="B27" s="5" t="s">
        <v>112</v>
      </c>
      <c r="C27" s="10">
        <v>54.746000000000002</v>
      </c>
      <c r="D27" s="10">
        <v>4.3179999999999996</v>
      </c>
      <c r="E27" s="10">
        <v>0.86899999999999999</v>
      </c>
      <c r="F27" s="10">
        <v>0</v>
      </c>
      <c r="G27" s="10">
        <v>1.5820000000000001</v>
      </c>
      <c r="H27" s="10">
        <v>1.048</v>
      </c>
      <c r="I27" s="10">
        <v>1.123</v>
      </c>
      <c r="J27" s="10">
        <v>0</v>
      </c>
      <c r="K27" s="10">
        <v>38.451999999999998</v>
      </c>
      <c r="L27" s="10">
        <v>0</v>
      </c>
      <c r="M27" s="13">
        <v>2.214</v>
      </c>
      <c r="N27" s="13">
        <v>3.3220000000000001</v>
      </c>
      <c r="O27" s="13">
        <v>0.76200000000000001</v>
      </c>
      <c r="P27" s="13">
        <v>0</v>
      </c>
      <c r="Q27" s="13">
        <v>0</v>
      </c>
      <c r="R27" s="13">
        <v>0</v>
      </c>
      <c r="S27" s="13">
        <v>0.81</v>
      </c>
      <c r="T27" s="13">
        <v>2.8319999999999999</v>
      </c>
      <c r="U27" s="13">
        <v>3.2410000000000001</v>
      </c>
      <c r="V27" s="13">
        <v>1.788</v>
      </c>
      <c r="W27" s="13">
        <v>2.173</v>
      </c>
      <c r="X27" s="13">
        <v>0.75600000000000001</v>
      </c>
      <c r="Y27" s="13">
        <v>0</v>
      </c>
      <c r="Z27" s="13">
        <v>0</v>
      </c>
      <c r="AA27" s="13">
        <v>15.646000000000001</v>
      </c>
      <c r="AB27" s="13">
        <v>7.569</v>
      </c>
      <c r="AC27" s="13">
        <v>0.67600000000000005</v>
      </c>
      <c r="AD27" s="13">
        <v>0</v>
      </c>
      <c r="AE27" s="13">
        <v>0</v>
      </c>
      <c r="AF27" s="13">
        <v>4.4219999999999997</v>
      </c>
      <c r="AG27" s="13">
        <v>4.0590000000000002</v>
      </c>
      <c r="AH27" s="13">
        <v>1.0089999999999999</v>
      </c>
      <c r="AI27" s="13">
        <v>6.2460000000000004</v>
      </c>
      <c r="AJ27" s="13">
        <v>7.2949999999999999</v>
      </c>
      <c r="AK27" s="13">
        <v>0</v>
      </c>
      <c r="AL27" s="13">
        <v>0.625</v>
      </c>
      <c r="AM27" s="13">
        <v>3.1659999999999999</v>
      </c>
      <c r="AN27" s="13">
        <v>14.281000000000001</v>
      </c>
      <c r="AO27" s="13">
        <v>0</v>
      </c>
      <c r="AP27" s="13">
        <v>3.4569999999999999</v>
      </c>
      <c r="AQ27" s="13">
        <v>0</v>
      </c>
      <c r="AR27" s="10">
        <v>5.32</v>
      </c>
      <c r="AS27" s="10">
        <v>39.902000000000001</v>
      </c>
      <c r="AT27" s="10">
        <v>0</v>
      </c>
      <c r="AU27" s="10">
        <v>0</v>
      </c>
      <c r="AV27" s="10">
        <v>0</v>
      </c>
      <c r="AW27" s="10">
        <v>4.2930000000000001</v>
      </c>
      <c r="AX27" s="10">
        <v>0.157</v>
      </c>
      <c r="AY27" s="10">
        <v>2.073</v>
      </c>
      <c r="AZ27" s="10">
        <v>0</v>
      </c>
      <c r="BA27" s="13">
        <v>0.58399999999999996</v>
      </c>
      <c r="BB27" s="13">
        <v>0</v>
      </c>
      <c r="BC27" s="13">
        <v>0</v>
      </c>
      <c r="BD27" s="13">
        <v>0.28899999999999998</v>
      </c>
      <c r="BE27" s="13">
        <v>0.79500000000000004</v>
      </c>
      <c r="BF27" s="13">
        <v>0</v>
      </c>
      <c r="BG27" s="13">
        <v>1.649</v>
      </c>
      <c r="BH27" s="13">
        <v>0</v>
      </c>
      <c r="BI27" s="10">
        <v>0</v>
      </c>
      <c r="BJ27" s="10">
        <v>0</v>
      </c>
      <c r="BK27" s="10">
        <v>2.0579999999999998</v>
      </c>
      <c r="BL27" s="13">
        <v>0</v>
      </c>
      <c r="BM27" s="13">
        <v>22.282</v>
      </c>
      <c r="BN27" s="13">
        <v>25.792000000000002</v>
      </c>
      <c r="BO27" s="13">
        <v>0</v>
      </c>
      <c r="BP27" s="13">
        <v>37.087000000000003</v>
      </c>
      <c r="BQ27" s="13">
        <v>10.526</v>
      </c>
      <c r="BR27" s="10">
        <v>2.6469999999999998</v>
      </c>
      <c r="BS27" s="10">
        <v>2.08</v>
      </c>
      <c r="BT27" s="10">
        <v>3.016</v>
      </c>
      <c r="BU27" s="10">
        <v>0</v>
      </c>
      <c r="BV27" s="10">
        <v>0</v>
      </c>
      <c r="BW27" s="10">
        <v>0</v>
      </c>
      <c r="BX27" s="13">
        <v>0</v>
      </c>
      <c r="BY27" s="13">
        <v>0.10100000000000001</v>
      </c>
      <c r="BZ27" s="13">
        <v>15.987</v>
      </c>
      <c r="CA27" s="13">
        <v>18.792000000000002</v>
      </c>
      <c r="CB27" s="13">
        <v>7.5730000000000004</v>
      </c>
      <c r="CC27" s="13">
        <v>6.1909999999999998</v>
      </c>
      <c r="CD27" s="13">
        <v>0</v>
      </c>
      <c r="CE27" s="13">
        <v>20.795999999999999</v>
      </c>
      <c r="CF27" s="13">
        <v>0</v>
      </c>
      <c r="CG27" s="13">
        <v>26.603000000000002</v>
      </c>
      <c r="CH27" s="13">
        <v>1.8360000000000001</v>
      </c>
      <c r="CI27" s="13">
        <v>0</v>
      </c>
      <c r="CJ27" s="13">
        <v>0.83199999999999996</v>
      </c>
      <c r="CK27" s="13">
        <v>26.806999999999999</v>
      </c>
      <c r="CL27" s="13">
        <v>0</v>
      </c>
      <c r="CM27" s="13">
        <v>0</v>
      </c>
      <c r="CN27" s="13">
        <v>3.415</v>
      </c>
      <c r="CO27" s="13">
        <v>0</v>
      </c>
      <c r="CP27" s="13">
        <v>6.0279999999999996</v>
      </c>
      <c r="CQ27" s="13">
        <v>6.891</v>
      </c>
      <c r="CR27" s="13">
        <v>0</v>
      </c>
      <c r="CS27" s="10">
        <v>1.6160000000000001</v>
      </c>
      <c r="CT27" s="10">
        <v>0.59399999999999997</v>
      </c>
      <c r="CU27" s="10">
        <v>0</v>
      </c>
      <c r="CV27" s="10">
        <v>0</v>
      </c>
      <c r="CW27" s="10">
        <v>0</v>
      </c>
      <c r="CX27" s="10">
        <v>13.535</v>
      </c>
      <c r="CY27" s="10">
        <v>0</v>
      </c>
      <c r="CZ27" s="10">
        <v>0</v>
      </c>
    </row>
    <row r="28" spans="2:104" x14ac:dyDescent="0.25">
      <c r="B28" s="5" t="s">
        <v>111</v>
      </c>
      <c r="C28" s="10">
        <v>3.0870000000000002</v>
      </c>
      <c r="D28" s="10">
        <v>3.28</v>
      </c>
      <c r="E28" s="10">
        <v>0</v>
      </c>
      <c r="F28" s="10">
        <v>0</v>
      </c>
      <c r="G28" s="10">
        <v>0</v>
      </c>
      <c r="H28" s="10">
        <v>0</v>
      </c>
      <c r="I28" s="10">
        <v>30.940999999999999</v>
      </c>
      <c r="J28" s="10">
        <v>18.582999999999998</v>
      </c>
      <c r="K28" s="10">
        <v>0</v>
      </c>
      <c r="L28" s="10">
        <v>61.314</v>
      </c>
      <c r="M28" s="13">
        <v>3.3220000000000001</v>
      </c>
      <c r="N28" s="13">
        <v>5.5359999999999996</v>
      </c>
      <c r="O28" s="13">
        <v>0.76200000000000001</v>
      </c>
      <c r="P28" s="13">
        <v>0</v>
      </c>
      <c r="Q28" s="13">
        <v>1.079</v>
      </c>
      <c r="R28" s="13">
        <v>0</v>
      </c>
      <c r="S28" s="13">
        <v>0.39200000000000002</v>
      </c>
      <c r="T28" s="13">
        <v>0.82599999999999996</v>
      </c>
      <c r="U28" s="13">
        <v>2.0289999999999999</v>
      </c>
      <c r="V28" s="13">
        <v>1.788</v>
      </c>
      <c r="W28" s="13">
        <v>2.8969999999999998</v>
      </c>
      <c r="X28" s="13">
        <v>0.378</v>
      </c>
      <c r="Y28" s="13">
        <v>0.59299999999999997</v>
      </c>
      <c r="Z28" s="13">
        <v>4.3680000000000003</v>
      </c>
      <c r="AA28" s="13">
        <v>0</v>
      </c>
      <c r="AB28" s="13">
        <v>10.614000000000001</v>
      </c>
      <c r="AC28" s="13">
        <v>0.39600000000000002</v>
      </c>
      <c r="AD28" s="13">
        <v>8.0530000000000008</v>
      </c>
      <c r="AE28" s="13">
        <v>12.244999999999999</v>
      </c>
      <c r="AF28" s="13">
        <v>0</v>
      </c>
      <c r="AG28" s="13">
        <v>0.69699999999999995</v>
      </c>
      <c r="AH28" s="13">
        <v>0</v>
      </c>
      <c r="AI28" s="13">
        <v>6.0650000000000004</v>
      </c>
      <c r="AJ28" s="13">
        <v>2.734</v>
      </c>
      <c r="AK28" s="13">
        <v>0</v>
      </c>
      <c r="AL28" s="13">
        <v>0</v>
      </c>
      <c r="AM28" s="13">
        <v>11.962</v>
      </c>
      <c r="AN28" s="13">
        <v>1.446</v>
      </c>
      <c r="AO28" s="13">
        <v>0</v>
      </c>
      <c r="AP28" s="13">
        <v>0</v>
      </c>
      <c r="AQ28" s="13">
        <v>21.518999999999998</v>
      </c>
      <c r="AR28" s="10">
        <v>0</v>
      </c>
      <c r="AS28" s="10">
        <v>16.052</v>
      </c>
      <c r="AT28" s="10">
        <v>6.2679999999999998</v>
      </c>
      <c r="AU28" s="10">
        <v>6.7539999999999996</v>
      </c>
      <c r="AV28" s="10">
        <v>6.431</v>
      </c>
      <c r="AW28" s="10">
        <v>4.8680000000000003</v>
      </c>
      <c r="AX28" s="10">
        <v>0</v>
      </c>
      <c r="AY28" s="10">
        <v>2.073</v>
      </c>
      <c r="AZ28" s="10">
        <v>2.9809999999999999</v>
      </c>
      <c r="BA28" s="13">
        <v>0.58399999999999996</v>
      </c>
      <c r="BB28" s="13">
        <v>1.238</v>
      </c>
      <c r="BC28" s="13">
        <v>0</v>
      </c>
      <c r="BD28" s="13">
        <v>0.28899999999999998</v>
      </c>
      <c r="BE28" s="13">
        <v>0.39700000000000002</v>
      </c>
      <c r="BF28" s="13">
        <v>1.67</v>
      </c>
      <c r="BG28" s="13">
        <v>3.8260000000000001</v>
      </c>
      <c r="BH28" s="13">
        <v>2.4580000000000002</v>
      </c>
      <c r="BI28" s="10">
        <v>4.5810000000000004</v>
      </c>
      <c r="BJ28" s="10">
        <v>0</v>
      </c>
      <c r="BK28" s="10">
        <v>8.6229999999999993</v>
      </c>
      <c r="BL28" s="13">
        <v>5.8</v>
      </c>
      <c r="BM28" s="13">
        <v>22.282</v>
      </c>
      <c r="BN28" s="13">
        <v>0</v>
      </c>
      <c r="BO28" s="13">
        <v>0</v>
      </c>
      <c r="BP28" s="13">
        <v>27.815000000000001</v>
      </c>
      <c r="BQ28" s="13">
        <v>35.031999999999996</v>
      </c>
      <c r="BR28" s="10">
        <v>0</v>
      </c>
      <c r="BS28" s="10">
        <v>3.9340000000000002</v>
      </c>
      <c r="BT28" s="10">
        <v>0</v>
      </c>
      <c r="BU28" s="10">
        <v>4.431</v>
      </c>
      <c r="BV28" s="10">
        <v>5.7480000000000002</v>
      </c>
      <c r="BW28" s="10">
        <v>1.0249999999999999</v>
      </c>
      <c r="BX28" s="13">
        <v>0</v>
      </c>
      <c r="BY28" s="13">
        <v>0.16900000000000001</v>
      </c>
      <c r="BZ28" s="13">
        <v>33.948999999999998</v>
      </c>
      <c r="CA28" s="13">
        <v>0</v>
      </c>
      <c r="CB28" s="13">
        <v>7.2770000000000001</v>
      </c>
      <c r="CC28" s="13">
        <v>20.247</v>
      </c>
      <c r="CD28" s="13">
        <v>20.949000000000002</v>
      </c>
      <c r="CE28" s="13">
        <v>0</v>
      </c>
      <c r="CF28" s="13">
        <v>10.403</v>
      </c>
      <c r="CG28" s="13">
        <v>5.0439999999999996</v>
      </c>
      <c r="CH28" s="13">
        <v>2.718</v>
      </c>
      <c r="CI28" s="13">
        <v>0</v>
      </c>
      <c r="CJ28" s="13">
        <v>0.125</v>
      </c>
      <c r="CK28" s="13">
        <v>0</v>
      </c>
      <c r="CL28" s="13">
        <v>0</v>
      </c>
      <c r="CM28" s="13">
        <v>4.399</v>
      </c>
      <c r="CN28" s="13">
        <v>3.9409999999999998</v>
      </c>
      <c r="CO28" s="13">
        <v>0</v>
      </c>
      <c r="CP28" s="13">
        <v>6.0279999999999996</v>
      </c>
      <c r="CQ28" s="13">
        <v>0</v>
      </c>
      <c r="CR28" s="13">
        <v>6.2320000000000002</v>
      </c>
      <c r="CS28" s="10">
        <v>0.32700000000000001</v>
      </c>
      <c r="CT28" s="10">
        <v>2.2050000000000001</v>
      </c>
      <c r="CU28" s="10">
        <v>0</v>
      </c>
      <c r="CV28" s="10">
        <v>1.9419999999999999</v>
      </c>
      <c r="CW28" s="10">
        <v>0</v>
      </c>
      <c r="CX28" s="10">
        <v>3.3839999999999999</v>
      </c>
      <c r="CY28" s="10">
        <v>0.378</v>
      </c>
      <c r="CZ28" s="10">
        <v>0.67400000000000004</v>
      </c>
    </row>
    <row r="29" spans="2:104" x14ac:dyDescent="0.25">
      <c r="B29" s="5" t="s">
        <v>110</v>
      </c>
      <c r="C29" s="10">
        <v>39.868000000000002</v>
      </c>
      <c r="D29" s="10">
        <v>4.9189999999999996</v>
      </c>
      <c r="E29" s="10">
        <v>1.228</v>
      </c>
      <c r="F29" s="10">
        <v>4.3639999999999999</v>
      </c>
      <c r="G29" s="10">
        <v>1.0549999999999999</v>
      </c>
      <c r="H29" s="10">
        <v>5.3780000000000001</v>
      </c>
      <c r="I29" s="10">
        <v>0</v>
      </c>
      <c r="J29" s="10">
        <v>9.2910000000000004</v>
      </c>
      <c r="K29" s="10">
        <v>25.635000000000002</v>
      </c>
      <c r="L29" s="10">
        <v>2.2210000000000001</v>
      </c>
      <c r="M29" s="13">
        <v>5.5359999999999996</v>
      </c>
      <c r="N29" s="13">
        <v>2.214</v>
      </c>
      <c r="O29" s="13">
        <v>0.27400000000000002</v>
      </c>
      <c r="P29" s="13">
        <v>7.0000000000000007E-2</v>
      </c>
      <c r="Q29" s="13">
        <v>0</v>
      </c>
      <c r="R29" s="13">
        <v>0</v>
      </c>
      <c r="S29" s="13">
        <v>0</v>
      </c>
      <c r="T29" s="13">
        <v>1.8879999999999999</v>
      </c>
      <c r="U29" s="13">
        <v>1.621</v>
      </c>
      <c r="V29" s="13">
        <v>1.788</v>
      </c>
      <c r="W29" s="13">
        <v>0.72399999999999998</v>
      </c>
      <c r="X29" s="13">
        <v>0</v>
      </c>
      <c r="Y29" s="13">
        <v>0.75900000000000001</v>
      </c>
      <c r="Z29" s="13">
        <v>2.6019999999999999</v>
      </c>
      <c r="AA29" s="13">
        <v>0</v>
      </c>
      <c r="AB29" s="13">
        <v>3.7839999999999998</v>
      </c>
      <c r="AC29" s="13">
        <v>0</v>
      </c>
      <c r="AD29" s="13">
        <v>0</v>
      </c>
      <c r="AE29" s="13">
        <v>8.1720000000000006</v>
      </c>
      <c r="AF29" s="13">
        <v>9.44</v>
      </c>
      <c r="AG29" s="13">
        <v>0.52800000000000002</v>
      </c>
      <c r="AH29" s="13">
        <v>1.0089999999999999</v>
      </c>
      <c r="AI29" s="13">
        <v>4.7510000000000003</v>
      </c>
      <c r="AJ29" s="13">
        <v>1.387</v>
      </c>
      <c r="AK29" s="13">
        <v>0</v>
      </c>
      <c r="AL29" s="13">
        <v>0</v>
      </c>
      <c r="AM29" s="13">
        <v>0</v>
      </c>
      <c r="AN29" s="13">
        <v>11.367000000000001</v>
      </c>
      <c r="AO29" s="13">
        <v>0</v>
      </c>
      <c r="AP29" s="13">
        <v>26.016999999999999</v>
      </c>
      <c r="AQ29" s="13">
        <v>30.631</v>
      </c>
      <c r="AR29" s="10">
        <v>5.7610000000000001</v>
      </c>
      <c r="AS29" s="10">
        <v>2.3530000000000002</v>
      </c>
      <c r="AT29" s="10">
        <v>9.4019999999999992</v>
      </c>
      <c r="AU29" s="10">
        <v>0</v>
      </c>
      <c r="AV29" s="10">
        <v>10.712999999999999</v>
      </c>
      <c r="AW29" s="10">
        <v>4.4029999999999996</v>
      </c>
      <c r="AX29" s="10">
        <v>0.314</v>
      </c>
      <c r="AY29" s="10">
        <v>0</v>
      </c>
      <c r="AZ29" s="10">
        <v>8.4909999999999997</v>
      </c>
      <c r="BA29" s="13">
        <v>0.58399999999999996</v>
      </c>
      <c r="BB29" s="13">
        <v>0</v>
      </c>
      <c r="BC29" s="13">
        <v>1.7</v>
      </c>
      <c r="BD29" s="13">
        <v>0.57899999999999996</v>
      </c>
      <c r="BE29" s="13">
        <v>0</v>
      </c>
      <c r="BF29" s="13">
        <v>3.34</v>
      </c>
      <c r="BG29" s="13">
        <v>1.706</v>
      </c>
      <c r="BH29" s="13">
        <v>2.1509999999999998</v>
      </c>
      <c r="BI29" s="10">
        <v>0</v>
      </c>
      <c r="BJ29" s="10">
        <v>0</v>
      </c>
      <c r="BK29" s="10">
        <v>2.2530000000000001</v>
      </c>
      <c r="BL29" s="13">
        <v>5.8</v>
      </c>
      <c r="BM29" s="13">
        <v>0</v>
      </c>
      <c r="BN29" s="13">
        <v>0</v>
      </c>
      <c r="BO29" s="13">
        <v>16.241</v>
      </c>
      <c r="BP29" s="13">
        <v>0</v>
      </c>
      <c r="BQ29" s="13">
        <v>17.515999999999998</v>
      </c>
      <c r="BR29" s="10">
        <v>0.22900000000000001</v>
      </c>
      <c r="BS29" s="10">
        <v>1.635</v>
      </c>
      <c r="BT29" s="10">
        <v>6.24</v>
      </c>
      <c r="BU29" s="10">
        <v>5.0629999999999997</v>
      </c>
      <c r="BV29" s="10">
        <v>3.8319999999999999</v>
      </c>
      <c r="BW29" s="10">
        <v>0</v>
      </c>
      <c r="BX29" s="13">
        <v>0</v>
      </c>
      <c r="BY29" s="13">
        <v>0.89700000000000002</v>
      </c>
      <c r="BZ29" s="13">
        <v>0</v>
      </c>
      <c r="CA29" s="13">
        <v>16.347999999999999</v>
      </c>
      <c r="CB29" s="13">
        <v>8.0640000000000001</v>
      </c>
      <c r="CC29" s="13">
        <v>33.295999999999999</v>
      </c>
      <c r="CD29" s="13">
        <v>19.946999999999999</v>
      </c>
      <c r="CE29" s="13">
        <v>19.952000000000002</v>
      </c>
      <c r="CF29" s="13">
        <v>0</v>
      </c>
      <c r="CG29" s="13">
        <v>42.948</v>
      </c>
      <c r="CH29" s="13">
        <v>2.7349999999999999</v>
      </c>
      <c r="CI29" s="13">
        <v>3.0049999999999999</v>
      </c>
      <c r="CJ29" s="13">
        <v>0.125</v>
      </c>
      <c r="CK29" s="13">
        <v>0</v>
      </c>
      <c r="CL29" s="13">
        <v>7.0970000000000004</v>
      </c>
      <c r="CM29" s="13">
        <v>3.8490000000000002</v>
      </c>
      <c r="CN29" s="13">
        <v>0</v>
      </c>
      <c r="CO29" s="13">
        <v>9.4510000000000005</v>
      </c>
      <c r="CP29" s="13">
        <v>1.8080000000000001</v>
      </c>
      <c r="CQ29" s="13">
        <v>8.109</v>
      </c>
      <c r="CR29" s="13">
        <v>0</v>
      </c>
      <c r="CS29" s="10">
        <v>0</v>
      </c>
      <c r="CT29" s="10">
        <v>0</v>
      </c>
      <c r="CU29" s="10">
        <v>6.266</v>
      </c>
      <c r="CV29" s="10">
        <v>1.2949999999999999</v>
      </c>
      <c r="CW29" s="10">
        <v>0</v>
      </c>
      <c r="CX29" s="10">
        <v>13.535</v>
      </c>
      <c r="CY29" s="10">
        <v>0</v>
      </c>
      <c r="CZ29" s="10">
        <v>0</v>
      </c>
    </row>
    <row r="30" spans="2:104" x14ac:dyDescent="0.25">
      <c r="B30" s="5" t="s">
        <v>109</v>
      </c>
      <c r="C30" s="10">
        <v>57.536999999999999</v>
      </c>
      <c r="D30" s="10">
        <v>0</v>
      </c>
      <c r="E30" s="10">
        <v>0.61399999999999999</v>
      </c>
      <c r="F30" s="10">
        <v>0</v>
      </c>
      <c r="G30" s="10">
        <v>0</v>
      </c>
      <c r="H30" s="10">
        <v>0</v>
      </c>
      <c r="I30" s="10">
        <v>0</v>
      </c>
      <c r="J30" s="10">
        <v>27.873999999999999</v>
      </c>
      <c r="K30" s="10">
        <v>0</v>
      </c>
      <c r="L30" s="10">
        <v>0</v>
      </c>
      <c r="M30" s="13">
        <v>2.214</v>
      </c>
      <c r="N30" s="13">
        <v>3.1429999999999998</v>
      </c>
      <c r="O30" s="13">
        <v>1.643</v>
      </c>
      <c r="P30" s="13">
        <v>0.14000000000000001</v>
      </c>
      <c r="Q30" s="13">
        <v>4.3159999999999998</v>
      </c>
      <c r="R30" s="13">
        <v>0.313</v>
      </c>
      <c r="S30" s="13">
        <v>0</v>
      </c>
      <c r="T30" s="13">
        <v>0.82599999999999996</v>
      </c>
      <c r="U30" s="13">
        <v>3.2410000000000001</v>
      </c>
      <c r="V30" s="13">
        <v>0</v>
      </c>
      <c r="W30" s="13">
        <v>2.173</v>
      </c>
      <c r="X30" s="13">
        <v>0</v>
      </c>
      <c r="Y30" s="13">
        <v>0.38</v>
      </c>
      <c r="Z30" s="13">
        <v>2.6019999999999999</v>
      </c>
      <c r="AA30" s="13">
        <v>1.2030000000000001</v>
      </c>
      <c r="AB30" s="13">
        <v>9.2780000000000005</v>
      </c>
      <c r="AC30" s="13">
        <v>0.39600000000000002</v>
      </c>
      <c r="AD30" s="13">
        <v>10.933999999999999</v>
      </c>
      <c r="AE30" s="13">
        <v>0</v>
      </c>
      <c r="AF30" s="13">
        <v>0</v>
      </c>
      <c r="AG30" s="13">
        <v>3.5459999999999998</v>
      </c>
      <c r="AH30" s="13">
        <v>0.33600000000000002</v>
      </c>
      <c r="AI30" s="13">
        <v>3.1669999999999998</v>
      </c>
      <c r="AJ30" s="13">
        <v>5.6760000000000002</v>
      </c>
      <c r="AK30" s="13">
        <v>0</v>
      </c>
      <c r="AL30" s="13">
        <v>0</v>
      </c>
      <c r="AM30" s="13">
        <v>3.9870000000000001</v>
      </c>
      <c r="AN30" s="13">
        <v>0</v>
      </c>
      <c r="AO30" s="13">
        <v>2.84</v>
      </c>
      <c r="AP30" s="13">
        <v>5.8949999999999996</v>
      </c>
      <c r="AQ30" s="13">
        <v>10.210000000000001</v>
      </c>
      <c r="AR30" s="10">
        <v>29.978999999999999</v>
      </c>
      <c r="AS30" s="10">
        <v>4.3470000000000004</v>
      </c>
      <c r="AT30" s="10">
        <v>9.4019999999999992</v>
      </c>
      <c r="AU30" s="10">
        <v>0</v>
      </c>
      <c r="AV30" s="10">
        <v>0</v>
      </c>
      <c r="AW30" s="10">
        <v>1.9259999999999999</v>
      </c>
      <c r="AX30" s="10">
        <v>0.39800000000000002</v>
      </c>
      <c r="AY30" s="10">
        <v>2.073</v>
      </c>
      <c r="AZ30" s="10">
        <v>0</v>
      </c>
      <c r="BA30" s="13">
        <v>0.4</v>
      </c>
      <c r="BB30" s="13">
        <v>0</v>
      </c>
      <c r="BC30" s="13">
        <v>0</v>
      </c>
      <c r="BD30" s="13">
        <v>0</v>
      </c>
      <c r="BE30" s="13">
        <v>1.1919999999999999</v>
      </c>
      <c r="BF30" s="13">
        <v>0</v>
      </c>
      <c r="BG30" s="13">
        <v>1.706</v>
      </c>
      <c r="BH30" s="13">
        <v>4.3010000000000002</v>
      </c>
      <c r="BI30" s="10">
        <v>0.48799999999999999</v>
      </c>
      <c r="BJ30" s="10">
        <v>0</v>
      </c>
      <c r="BK30" s="10">
        <v>0</v>
      </c>
      <c r="BL30" s="13">
        <v>0</v>
      </c>
      <c r="BM30" s="13">
        <v>1.841</v>
      </c>
      <c r="BN30" s="13">
        <v>0</v>
      </c>
      <c r="BO30" s="13">
        <v>18.786999999999999</v>
      </c>
      <c r="BP30" s="13">
        <v>5.6390000000000002</v>
      </c>
      <c r="BQ30" s="13">
        <v>17.515999999999998</v>
      </c>
      <c r="BR30" s="10">
        <v>1.4219999999999999</v>
      </c>
      <c r="BS30" s="10">
        <v>1.635</v>
      </c>
      <c r="BT30" s="10">
        <v>2.08</v>
      </c>
      <c r="BU30" s="10">
        <v>0</v>
      </c>
      <c r="BV30" s="10">
        <v>0</v>
      </c>
      <c r="BW30" s="10">
        <v>2.0499999999999998</v>
      </c>
      <c r="BX30" s="13">
        <v>0</v>
      </c>
      <c r="BY30" s="13">
        <v>0.215</v>
      </c>
      <c r="BZ30" s="13">
        <v>0</v>
      </c>
      <c r="CA30" s="13">
        <v>8.1739999999999995</v>
      </c>
      <c r="CB30" s="13">
        <v>0</v>
      </c>
      <c r="CC30" s="13">
        <v>0</v>
      </c>
      <c r="CD30" s="13">
        <v>0.80100000000000005</v>
      </c>
      <c r="CE30" s="13">
        <v>19.504000000000001</v>
      </c>
      <c r="CF30" s="13">
        <v>17.457000000000001</v>
      </c>
      <c r="CG30" s="13">
        <v>14.766</v>
      </c>
      <c r="CH30" s="13">
        <v>1.014</v>
      </c>
      <c r="CI30" s="13">
        <v>0</v>
      </c>
      <c r="CJ30" s="13">
        <v>3.2010000000000001</v>
      </c>
      <c r="CK30" s="13">
        <v>4.1139999999999999</v>
      </c>
      <c r="CL30" s="13">
        <v>3.548</v>
      </c>
      <c r="CM30" s="13">
        <v>7.6980000000000004</v>
      </c>
      <c r="CN30" s="13">
        <v>8.9350000000000005</v>
      </c>
      <c r="CO30" s="13">
        <v>0</v>
      </c>
      <c r="CP30" s="13">
        <v>3.6160000000000001</v>
      </c>
      <c r="CQ30" s="13">
        <v>2.9780000000000002</v>
      </c>
      <c r="CR30" s="13">
        <v>0</v>
      </c>
      <c r="CS30" s="10">
        <v>2.319</v>
      </c>
      <c r="CT30" s="10">
        <v>2.2669999999999999</v>
      </c>
      <c r="CU30" s="10">
        <v>2.4089999999999998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</row>
    <row r="31" spans="2:104" x14ac:dyDescent="0.25">
      <c r="B31" s="5" t="s">
        <v>108</v>
      </c>
      <c r="C31" s="10">
        <v>23.033000000000001</v>
      </c>
      <c r="D31" s="10">
        <v>8.1850000000000005</v>
      </c>
      <c r="E31" s="10">
        <v>0</v>
      </c>
      <c r="F31" s="10">
        <v>3.5209999999999999</v>
      </c>
      <c r="G31" s="10">
        <v>0</v>
      </c>
      <c r="H31" s="10">
        <v>0</v>
      </c>
      <c r="I31" s="10">
        <v>0</v>
      </c>
      <c r="J31" s="10">
        <v>1.123</v>
      </c>
      <c r="K31" s="10">
        <v>0.82</v>
      </c>
      <c r="L31" s="10">
        <v>49.478000000000002</v>
      </c>
      <c r="M31" s="13">
        <v>3.1429999999999998</v>
      </c>
      <c r="N31" s="13">
        <v>0.68</v>
      </c>
      <c r="O31" s="13">
        <v>0.27400000000000002</v>
      </c>
      <c r="P31" s="13">
        <v>0</v>
      </c>
      <c r="Q31" s="13">
        <v>2.1579999999999999</v>
      </c>
      <c r="R31" s="13">
        <v>0</v>
      </c>
      <c r="S31" s="13">
        <v>0.43</v>
      </c>
      <c r="T31" s="13">
        <v>0</v>
      </c>
      <c r="U31" s="13">
        <v>1.621</v>
      </c>
      <c r="V31" s="13">
        <v>2.8519999999999999</v>
      </c>
      <c r="W31" s="13">
        <v>0</v>
      </c>
      <c r="X31" s="13">
        <v>2.73</v>
      </c>
      <c r="Y31" s="13">
        <v>0.75900000000000001</v>
      </c>
      <c r="Z31" s="13">
        <v>0</v>
      </c>
      <c r="AA31" s="13">
        <v>5.2149999999999999</v>
      </c>
      <c r="AB31" s="13">
        <v>0</v>
      </c>
      <c r="AC31" s="13">
        <v>0</v>
      </c>
      <c r="AD31" s="13">
        <v>19.989000000000001</v>
      </c>
      <c r="AE31" s="13">
        <v>0</v>
      </c>
      <c r="AF31" s="13">
        <v>0</v>
      </c>
      <c r="AG31" s="13">
        <v>10.98</v>
      </c>
      <c r="AH31" s="13">
        <v>1.3460000000000001</v>
      </c>
      <c r="AI31" s="13">
        <v>0</v>
      </c>
      <c r="AJ31" s="13">
        <v>1.7529999999999999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3.6230000000000002</v>
      </c>
      <c r="AQ31" s="13">
        <v>9.8209999999999997</v>
      </c>
      <c r="AR31" s="10">
        <v>2.343</v>
      </c>
      <c r="AS31" s="10">
        <v>15.481</v>
      </c>
      <c r="AT31" s="10">
        <v>6.2679999999999998</v>
      </c>
      <c r="AU31" s="10">
        <v>0</v>
      </c>
      <c r="AV31" s="10">
        <v>0</v>
      </c>
      <c r="AW31" s="10">
        <v>1.9259999999999999</v>
      </c>
      <c r="AX31" s="10">
        <v>0.25900000000000001</v>
      </c>
      <c r="AY31" s="10">
        <v>2.073</v>
      </c>
      <c r="AZ31" s="10">
        <v>8.4909999999999997</v>
      </c>
      <c r="BA31" s="13">
        <v>0.627</v>
      </c>
      <c r="BB31" s="13">
        <v>0</v>
      </c>
      <c r="BC31" s="13">
        <v>0</v>
      </c>
      <c r="BD31" s="13">
        <v>0</v>
      </c>
      <c r="BE31" s="13">
        <v>0.79500000000000004</v>
      </c>
      <c r="BF31" s="13">
        <v>0</v>
      </c>
      <c r="BG31" s="13">
        <v>0</v>
      </c>
      <c r="BH31" s="13">
        <v>0</v>
      </c>
      <c r="BI31" s="10">
        <v>6.6669999999999998</v>
      </c>
      <c r="BJ31" s="10">
        <v>0</v>
      </c>
      <c r="BK31" s="10">
        <v>0</v>
      </c>
      <c r="BL31" s="13">
        <v>4.5720000000000001</v>
      </c>
      <c r="BM31" s="13">
        <v>0</v>
      </c>
      <c r="BN31" s="13">
        <v>50.558999999999997</v>
      </c>
      <c r="BO31" s="13">
        <v>0</v>
      </c>
      <c r="BP31" s="13">
        <v>5.6390000000000002</v>
      </c>
      <c r="BQ31" s="13">
        <v>0</v>
      </c>
      <c r="BR31" s="10">
        <v>0.186</v>
      </c>
      <c r="BS31" s="10">
        <v>1.635</v>
      </c>
      <c r="BT31" s="10">
        <v>2.08</v>
      </c>
      <c r="BU31" s="10">
        <v>2.74</v>
      </c>
      <c r="BV31" s="10">
        <v>0</v>
      </c>
      <c r="BW31" s="10">
        <v>2.5710000000000002</v>
      </c>
      <c r="BX31" s="13">
        <v>0</v>
      </c>
      <c r="BY31" s="13">
        <v>0.24099999999999999</v>
      </c>
      <c r="BZ31" s="13">
        <v>0</v>
      </c>
      <c r="CA31" s="13">
        <v>9.0129999999999999</v>
      </c>
      <c r="CB31" s="13">
        <v>13.896000000000001</v>
      </c>
      <c r="CC31" s="13">
        <v>0</v>
      </c>
      <c r="CD31" s="13">
        <v>61.863999999999997</v>
      </c>
      <c r="CE31" s="13">
        <v>35.729999999999997</v>
      </c>
      <c r="CF31" s="13">
        <v>11.632999999999999</v>
      </c>
      <c r="CG31" s="13">
        <v>16.870999999999999</v>
      </c>
      <c r="CH31" s="13">
        <v>0</v>
      </c>
      <c r="CI31" s="13">
        <v>2.508</v>
      </c>
      <c r="CJ31" s="13">
        <v>0.88900000000000001</v>
      </c>
      <c r="CK31" s="13">
        <v>0</v>
      </c>
      <c r="CL31" s="13">
        <v>3.6240000000000001</v>
      </c>
      <c r="CM31" s="13">
        <v>0</v>
      </c>
      <c r="CN31" s="13">
        <v>2.5750000000000002</v>
      </c>
      <c r="CO31" s="13">
        <v>13.12</v>
      </c>
      <c r="CP31" s="13">
        <v>3.6160000000000001</v>
      </c>
      <c r="CQ31" s="13">
        <v>0</v>
      </c>
      <c r="CR31" s="13">
        <v>4.2480000000000002</v>
      </c>
      <c r="CS31" s="10">
        <v>4.9569999999999999</v>
      </c>
      <c r="CT31" s="10">
        <v>0</v>
      </c>
      <c r="CU31" s="10">
        <v>0</v>
      </c>
      <c r="CV31" s="10">
        <v>1.2949999999999999</v>
      </c>
      <c r="CW31" s="10">
        <v>0</v>
      </c>
      <c r="CX31" s="10">
        <v>12.253</v>
      </c>
      <c r="CY31" s="10">
        <v>0</v>
      </c>
      <c r="CZ31" s="10">
        <v>1.2130000000000001</v>
      </c>
    </row>
    <row r="32" spans="2:104" x14ac:dyDescent="0.25">
      <c r="B32" s="5" t="s">
        <v>107</v>
      </c>
      <c r="C32" s="10">
        <v>48.317</v>
      </c>
      <c r="D32" s="10">
        <v>2.4460000000000002</v>
      </c>
      <c r="E32" s="10">
        <v>0</v>
      </c>
      <c r="F32" s="10">
        <v>10.564</v>
      </c>
      <c r="G32" s="10">
        <v>0</v>
      </c>
      <c r="H32" s="10">
        <v>0</v>
      </c>
      <c r="I32" s="10">
        <v>7.7350000000000003</v>
      </c>
      <c r="J32" s="10">
        <v>30.940999999999999</v>
      </c>
      <c r="K32" s="10">
        <v>4.2999999999999997E-2</v>
      </c>
      <c r="L32" s="10">
        <v>2.2210000000000001</v>
      </c>
      <c r="M32" s="13">
        <v>0.68</v>
      </c>
      <c r="N32" s="13">
        <v>2.391</v>
      </c>
      <c r="O32" s="13">
        <v>0.54800000000000004</v>
      </c>
      <c r="P32" s="13">
        <v>0.24299999999999999</v>
      </c>
      <c r="Q32" s="13">
        <v>3.1960000000000002</v>
      </c>
      <c r="R32" s="13">
        <v>1.978</v>
      </c>
      <c r="S32" s="13">
        <v>0</v>
      </c>
      <c r="T32" s="13">
        <v>0</v>
      </c>
      <c r="U32" s="13">
        <v>3.968</v>
      </c>
      <c r="V32" s="13">
        <v>0.95099999999999996</v>
      </c>
      <c r="W32" s="13">
        <v>0.90500000000000003</v>
      </c>
      <c r="X32" s="13">
        <v>1.365</v>
      </c>
      <c r="Y32" s="13">
        <v>1.8979999999999999</v>
      </c>
      <c r="Z32" s="13">
        <v>8.2349999999999994</v>
      </c>
      <c r="AA32" s="13">
        <v>7.8449999999999998</v>
      </c>
      <c r="AB32" s="13">
        <v>9.2999999999999999E-2</v>
      </c>
      <c r="AC32" s="13">
        <v>0</v>
      </c>
      <c r="AD32" s="13">
        <v>10.936</v>
      </c>
      <c r="AE32" s="13">
        <v>18.754999999999999</v>
      </c>
      <c r="AF32" s="13">
        <v>6.234</v>
      </c>
      <c r="AG32" s="13">
        <v>4.5460000000000003</v>
      </c>
      <c r="AH32" s="13">
        <v>0.81699999999999995</v>
      </c>
      <c r="AI32" s="13">
        <v>1.5840000000000001</v>
      </c>
      <c r="AJ32" s="13">
        <v>1.0629999999999999</v>
      </c>
      <c r="AK32" s="13">
        <v>0.53400000000000003</v>
      </c>
      <c r="AL32" s="13">
        <v>0</v>
      </c>
      <c r="AM32" s="13">
        <v>31.367000000000001</v>
      </c>
      <c r="AN32" s="13">
        <v>0</v>
      </c>
      <c r="AO32" s="13">
        <v>0</v>
      </c>
      <c r="AP32" s="13">
        <v>0</v>
      </c>
      <c r="AQ32" s="13">
        <v>17.937000000000001</v>
      </c>
      <c r="AR32" s="10">
        <v>0</v>
      </c>
      <c r="AS32" s="10">
        <v>7.7409999999999997</v>
      </c>
      <c r="AT32" s="10">
        <v>9.4019999999999992</v>
      </c>
      <c r="AU32" s="10">
        <v>0</v>
      </c>
      <c r="AV32" s="10">
        <v>5.4130000000000003</v>
      </c>
      <c r="AW32" s="10">
        <v>1.9259999999999999</v>
      </c>
      <c r="AX32" s="10">
        <v>8.8999999999999996E-2</v>
      </c>
      <c r="AY32" s="10">
        <v>3.4140000000000001</v>
      </c>
      <c r="AZ32" s="10">
        <v>16.981000000000002</v>
      </c>
      <c r="BA32" s="13">
        <v>0.314</v>
      </c>
      <c r="BB32" s="13">
        <v>0</v>
      </c>
      <c r="BC32" s="13">
        <v>0</v>
      </c>
      <c r="BD32" s="13">
        <v>0.17399999999999999</v>
      </c>
      <c r="BE32" s="13">
        <v>0.89700000000000002</v>
      </c>
      <c r="BF32" s="13">
        <v>0</v>
      </c>
      <c r="BG32" s="13">
        <v>3.411</v>
      </c>
      <c r="BH32" s="13">
        <v>0</v>
      </c>
      <c r="BI32" s="10">
        <v>1.637</v>
      </c>
      <c r="BJ32" s="10">
        <v>2.754</v>
      </c>
      <c r="BK32" s="10">
        <v>2.5960000000000001</v>
      </c>
      <c r="BL32" s="13">
        <v>0</v>
      </c>
      <c r="BM32" s="13">
        <v>9.798</v>
      </c>
      <c r="BN32" s="13">
        <v>0</v>
      </c>
      <c r="BO32" s="13">
        <v>0</v>
      </c>
      <c r="BP32" s="13">
        <v>41.709000000000003</v>
      </c>
      <c r="BQ32" s="13">
        <v>47.143000000000001</v>
      </c>
      <c r="BR32" s="10">
        <v>0.22800000000000001</v>
      </c>
      <c r="BS32" s="10">
        <v>4.9039999999999999</v>
      </c>
      <c r="BT32" s="10">
        <v>3.9340000000000002</v>
      </c>
      <c r="BU32" s="10">
        <v>5.48</v>
      </c>
      <c r="BV32" s="10">
        <v>2.6179999999999999</v>
      </c>
      <c r="BW32" s="10">
        <v>3.5960000000000001</v>
      </c>
      <c r="BX32" s="13">
        <v>0</v>
      </c>
      <c r="BY32" s="13">
        <v>0</v>
      </c>
      <c r="BZ32" s="13">
        <v>0</v>
      </c>
      <c r="CA32" s="13">
        <v>19.565999999999999</v>
      </c>
      <c r="CB32" s="13">
        <v>8.2059999999999995</v>
      </c>
      <c r="CC32" s="13">
        <v>0</v>
      </c>
      <c r="CD32" s="13">
        <v>25.648</v>
      </c>
      <c r="CE32" s="13">
        <v>11.465999999999999</v>
      </c>
      <c r="CF32" s="13">
        <v>6.6269999999999998</v>
      </c>
      <c r="CG32" s="13">
        <v>22.199000000000002</v>
      </c>
      <c r="CH32" s="13">
        <v>0</v>
      </c>
      <c r="CI32" s="13">
        <v>1.254</v>
      </c>
      <c r="CJ32" s="13">
        <v>0</v>
      </c>
      <c r="CK32" s="13">
        <v>16.911000000000001</v>
      </c>
      <c r="CL32" s="13">
        <v>8.9190000000000005</v>
      </c>
      <c r="CM32" s="13">
        <v>0</v>
      </c>
      <c r="CN32" s="13">
        <v>2.5750000000000002</v>
      </c>
      <c r="CO32" s="13">
        <v>12.741</v>
      </c>
      <c r="CP32" s="13">
        <v>5.4240000000000004</v>
      </c>
      <c r="CQ32" s="13">
        <v>0</v>
      </c>
      <c r="CR32" s="13">
        <v>17.097999999999999</v>
      </c>
      <c r="CS32" s="10">
        <v>0.83299999999999996</v>
      </c>
      <c r="CT32" s="10">
        <v>1.3080000000000001</v>
      </c>
      <c r="CU32" s="10">
        <v>8.2319999999999993</v>
      </c>
      <c r="CV32" s="10">
        <v>0.34399999999999997</v>
      </c>
      <c r="CW32" s="10">
        <v>0</v>
      </c>
      <c r="CX32" s="10">
        <v>0</v>
      </c>
      <c r="CY32" s="10">
        <v>1.454</v>
      </c>
      <c r="CZ32" s="10">
        <v>1.2130000000000001</v>
      </c>
    </row>
    <row r="33" spans="2:104" x14ac:dyDescent="0.25">
      <c r="B33" s="5" t="s">
        <v>106</v>
      </c>
      <c r="C33" s="10">
        <v>48.317</v>
      </c>
      <c r="D33" s="10">
        <v>0</v>
      </c>
      <c r="E33" s="10">
        <v>0.61399999999999999</v>
      </c>
      <c r="F33" s="10">
        <v>0</v>
      </c>
      <c r="G33" s="10">
        <v>0</v>
      </c>
      <c r="H33" s="10">
        <v>0</v>
      </c>
      <c r="I33" s="10">
        <v>32.222999999999999</v>
      </c>
      <c r="J33" s="10">
        <v>0</v>
      </c>
      <c r="K33" s="10">
        <v>21.847999999999999</v>
      </c>
      <c r="L33" s="10">
        <v>2.3140000000000001</v>
      </c>
      <c r="M33" s="13">
        <v>2.391</v>
      </c>
      <c r="N33" s="13">
        <v>0</v>
      </c>
      <c r="O33" s="13">
        <v>0.54800000000000004</v>
      </c>
      <c r="P33" s="13">
        <v>0.122</v>
      </c>
      <c r="Q33" s="13">
        <v>0</v>
      </c>
      <c r="R33" s="13">
        <v>0.98899999999999999</v>
      </c>
      <c r="S33" s="13">
        <v>0</v>
      </c>
      <c r="T33" s="13">
        <v>1.595</v>
      </c>
      <c r="U33" s="13">
        <v>1.5189999999999999</v>
      </c>
      <c r="V33" s="13">
        <v>0</v>
      </c>
      <c r="W33" s="13">
        <v>0</v>
      </c>
      <c r="X33" s="13">
        <v>0</v>
      </c>
      <c r="Y33" s="13">
        <v>0.75900000000000001</v>
      </c>
      <c r="Z33" s="13">
        <v>2.6019999999999999</v>
      </c>
      <c r="AA33" s="13">
        <v>11.083</v>
      </c>
      <c r="AB33" s="13">
        <v>6.9580000000000002</v>
      </c>
      <c r="AC33" s="13">
        <v>0</v>
      </c>
      <c r="AD33" s="13">
        <v>0</v>
      </c>
      <c r="AE33" s="13">
        <v>7.7759999999999998</v>
      </c>
      <c r="AF33" s="13">
        <v>0</v>
      </c>
      <c r="AG33" s="13">
        <v>4.6420000000000003</v>
      </c>
      <c r="AH33" s="13">
        <v>0</v>
      </c>
      <c r="AI33" s="13">
        <v>1.5840000000000001</v>
      </c>
      <c r="AJ33" s="13">
        <v>1.7529999999999999</v>
      </c>
      <c r="AK33" s="13">
        <v>0</v>
      </c>
      <c r="AL33" s="13">
        <v>0.53400000000000003</v>
      </c>
      <c r="AM33" s="13">
        <v>6.4770000000000003</v>
      </c>
      <c r="AN33" s="13">
        <v>0</v>
      </c>
      <c r="AO33" s="13">
        <v>0</v>
      </c>
      <c r="AP33" s="13">
        <v>7.2460000000000004</v>
      </c>
      <c r="AQ33" s="13">
        <v>0</v>
      </c>
      <c r="AR33" s="10">
        <v>10.874000000000001</v>
      </c>
      <c r="AS33" s="10">
        <v>25.731000000000002</v>
      </c>
      <c r="AT33" s="10">
        <v>3.5819999999999999</v>
      </c>
      <c r="AU33" s="10">
        <v>0</v>
      </c>
      <c r="AV33" s="10">
        <v>0</v>
      </c>
      <c r="AW33" s="10">
        <v>0</v>
      </c>
      <c r="AX33" s="10">
        <v>0.30099999999999999</v>
      </c>
      <c r="AY33" s="10">
        <v>0</v>
      </c>
      <c r="AZ33" s="10">
        <v>4.9749999999999996</v>
      </c>
      <c r="BA33" s="13">
        <v>0.19400000000000001</v>
      </c>
      <c r="BB33" s="13">
        <v>0</v>
      </c>
      <c r="BC33" s="13">
        <v>0</v>
      </c>
      <c r="BD33" s="13">
        <v>0.17399999999999999</v>
      </c>
      <c r="BE33" s="13">
        <v>0.89700000000000002</v>
      </c>
      <c r="BF33" s="13">
        <v>0</v>
      </c>
      <c r="BG33" s="13">
        <v>3.4350000000000001</v>
      </c>
      <c r="BH33" s="13">
        <v>2.5539999999999998</v>
      </c>
      <c r="BI33" s="10">
        <v>1.4890000000000001</v>
      </c>
      <c r="BJ33" s="10">
        <v>0.86499999999999999</v>
      </c>
      <c r="BK33" s="10">
        <v>3.1259999999999999</v>
      </c>
      <c r="BL33" s="13">
        <v>1.171</v>
      </c>
      <c r="BM33" s="13">
        <v>0</v>
      </c>
      <c r="BN33" s="13">
        <v>24.073</v>
      </c>
      <c r="BO33" s="13">
        <v>21.334</v>
      </c>
      <c r="BP33" s="13">
        <v>11.278</v>
      </c>
      <c r="BQ33" s="13">
        <v>0</v>
      </c>
      <c r="BR33" s="10">
        <v>0</v>
      </c>
      <c r="BS33" s="10">
        <v>4.9039999999999999</v>
      </c>
      <c r="BT33" s="10">
        <v>1.635</v>
      </c>
      <c r="BU33" s="10">
        <v>2.74</v>
      </c>
      <c r="BV33" s="10">
        <v>2.6179999999999999</v>
      </c>
      <c r="BW33" s="10">
        <v>3.3940000000000001</v>
      </c>
      <c r="BX33" s="13">
        <v>0.31</v>
      </c>
      <c r="BY33" s="13">
        <v>0.182</v>
      </c>
      <c r="BZ33" s="13">
        <v>0</v>
      </c>
      <c r="CA33" s="13">
        <v>0</v>
      </c>
      <c r="CB33" s="13">
        <v>17.663</v>
      </c>
      <c r="CC33" s="13">
        <v>0</v>
      </c>
      <c r="CD33" s="13">
        <v>2.7010000000000001</v>
      </c>
      <c r="CE33" s="13">
        <v>0.52500000000000002</v>
      </c>
      <c r="CF33" s="13">
        <v>6.524</v>
      </c>
      <c r="CG33" s="13">
        <v>23.544</v>
      </c>
      <c r="CH33" s="13">
        <v>0</v>
      </c>
      <c r="CI33" s="13">
        <v>1.907</v>
      </c>
      <c r="CJ33" s="13">
        <v>1.667</v>
      </c>
      <c r="CK33" s="13">
        <v>19.327000000000002</v>
      </c>
      <c r="CL33" s="13">
        <v>3.2040000000000002</v>
      </c>
      <c r="CM33" s="13">
        <v>4.6989999999999998</v>
      </c>
      <c r="CN33" s="13">
        <v>2.5750000000000002</v>
      </c>
      <c r="CO33" s="13">
        <v>12.741</v>
      </c>
      <c r="CP33" s="13">
        <v>5.4240000000000004</v>
      </c>
      <c r="CQ33" s="13">
        <v>7.8540000000000001</v>
      </c>
      <c r="CR33" s="13">
        <v>2.5880000000000001</v>
      </c>
      <c r="CS33" s="10">
        <v>0</v>
      </c>
      <c r="CT33" s="10">
        <v>0.876</v>
      </c>
      <c r="CU33" s="10">
        <v>1.768</v>
      </c>
      <c r="CV33" s="10">
        <v>1.0309999999999999</v>
      </c>
      <c r="CW33" s="10">
        <v>0</v>
      </c>
      <c r="CX33" s="10">
        <v>5.4960000000000004</v>
      </c>
      <c r="CY33" s="10">
        <v>0</v>
      </c>
      <c r="CZ33" s="10">
        <v>0</v>
      </c>
    </row>
    <row r="34" spans="2:104" x14ac:dyDescent="0.25">
      <c r="B34" s="5" t="s">
        <v>105</v>
      </c>
      <c r="C34" s="10">
        <v>17.623999999999999</v>
      </c>
      <c r="D34" s="10">
        <v>8.484</v>
      </c>
      <c r="E34" s="10">
        <v>1.228</v>
      </c>
      <c r="F34" s="10">
        <v>0</v>
      </c>
      <c r="G34" s="10">
        <v>1.204</v>
      </c>
      <c r="H34" s="10">
        <v>22.245000000000001</v>
      </c>
      <c r="I34" s="10">
        <v>0</v>
      </c>
      <c r="J34" s="10">
        <v>0</v>
      </c>
      <c r="K34" s="10">
        <v>2.5289999999999999</v>
      </c>
      <c r="L34" s="10">
        <v>0</v>
      </c>
      <c r="M34" s="13">
        <v>0</v>
      </c>
      <c r="N34" s="13">
        <v>0</v>
      </c>
      <c r="O34" s="13">
        <v>0.27500000000000002</v>
      </c>
      <c r="P34" s="13">
        <v>0.24299999999999999</v>
      </c>
      <c r="Q34" s="13">
        <v>4.2610000000000001</v>
      </c>
      <c r="R34" s="13">
        <v>0</v>
      </c>
      <c r="S34" s="13">
        <v>0</v>
      </c>
      <c r="T34" s="13">
        <v>2.4300000000000002</v>
      </c>
      <c r="U34" s="13">
        <v>0</v>
      </c>
      <c r="V34" s="13">
        <v>1.901</v>
      </c>
      <c r="W34" s="13">
        <v>0</v>
      </c>
      <c r="X34" s="13">
        <v>0</v>
      </c>
      <c r="Y34" s="13">
        <v>0.33700000000000002</v>
      </c>
      <c r="Z34" s="13">
        <v>2.1960000000000002</v>
      </c>
      <c r="AA34" s="13">
        <v>8.8290000000000006</v>
      </c>
      <c r="AB34" s="13">
        <v>2.319</v>
      </c>
      <c r="AC34" s="13">
        <v>0</v>
      </c>
      <c r="AD34" s="13">
        <v>0.76800000000000002</v>
      </c>
      <c r="AE34" s="13">
        <v>39.075000000000003</v>
      </c>
      <c r="AF34" s="13">
        <v>0</v>
      </c>
      <c r="AG34" s="13">
        <v>4.0940000000000003</v>
      </c>
      <c r="AH34" s="13">
        <v>0.81699999999999995</v>
      </c>
      <c r="AI34" s="13">
        <v>0</v>
      </c>
      <c r="AJ34" s="13">
        <v>2.1709999999999998</v>
      </c>
      <c r="AK34" s="13">
        <v>0</v>
      </c>
      <c r="AL34" s="13">
        <v>0</v>
      </c>
      <c r="AM34" s="13">
        <v>7.4930000000000003</v>
      </c>
      <c r="AN34" s="13">
        <v>6.0620000000000003</v>
      </c>
      <c r="AO34" s="13">
        <v>13.023</v>
      </c>
      <c r="AP34" s="13">
        <v>7.2460000000000004</v>
      </c>
      <c r="AQ34" s="13">
        <v>17.937000000000001</v>
      </c>
      <c r="AR34" s="10">
        <v>3.625</v>
      </c>
      <c r="AS34" s="10">
        <v>7.8230000000000004</v>
      </c>
      <c r="AT34" s="10">
        <v>7.165</v>
      </c>
      <c r="AU34" s="10">
        <v>7.4669999999999996</v>
      </c>
      <c r="AV34" s="10">
        <v>13.397</v>
      </c>
      <c r="AW34" s="10">
        <v>0</v>
      </c>
      <c r="AX34" s="10">
        <v>0</v>
      </c>
      <c r="AY34" s="10">
        <v>0</v>
      </c>
      <c r="AZ34" s="10">
        <v>29.577999999999999</v>
      </c>
      <c r="BA34" s="13">
        <v>0</v>
      </c>
      <c r="BB34" s="13">
        <v>0</v>
      </c>
      <c r="BC34" s="13">
        <v>0</v>
      </c>
      <c r="BD34" s="13">
        <v>0.45900000000000002</v>
      </c>
      <c r="BE34" s="13">
        <v>0.44900000000000001</v>
      </c>
      <c r="BF34" s="13">
        <v>0</v>
      </c>
      <c r="BG34" s="13">
        <v>3.4350000000000001</v>
      </c>
      <c r="BH34" s="13">
        <v>1.2769999999999999</v>
      </c>
      <c r="BI34" s="10">
        <v>4.835</v>
      </c>
      <c r="BJ34" s="10">
        <v>1.99</v>
      </c>
      <c r="BK34" s="10">
        <v>9.3780000000000001</v>
      </c>
      <c r="BL34" s="13">
        <v>11.282999999999999</v>
      </c>
      <c r="BM34" s="13">
        <v>0</v>
      </c>
      <c r="BN34" s="13">
        <v>1.851</v>
      </c>
      <c r="BO34" s="13">
        <v>0</v>
      </c>
      <c r="BP34" s="13">
        <v>12.929</v>
      </c>
      <c r="BQ34" s="13">
        <v>0</v>
      </c>
      <c r="BR34" s="10">
        <v>0.22800000000000001</v>
      </c>
      <c r="BS34" s="10">
        <v>0</v>
      </c>
      <c r="BT34" s="10">
        <v>1.635</v>
      </c>
      <c r="BU34" s="10">
        <v>0</v>
      </c>
      <c r="BV34" s="10">
        <v>7.8540000000000001</v>
      </c>
      <c r="BW34" s="10">
        <v>0</v>
      </c>
      <c r="BX34" s="13">
        <v>0.46500000000000002</v>
      </c>
      <c r="BY34" s="13">
        <v>0.27400000000000002</v>
      </c>
      <c r="BZ34" s="13">
        <v>0</v>
      </c>
      <c r="CA34" s="13">
        <v>32.695</v>
      </c>
      <c r="CB34" s="13">
        <v>5.492</v>
      </c>
      <c r="CC34" s="13">
        <v>0</v>
      </c>
      <c r="CD34" s="13">
        <v>15.465999999999999</v>
      </c>
      <c r="CE34" s="13">
        <v>0</v>
      </c>
      <c r="CF34" s="13">
        <v>19.573</v>
      </c>
      <c r="CG34" s="13">
        <v>15.946</v>
      </c>
      <c r="CH34" s="13">
        <v>0</v>
      </c>
      <c r="CI34" s="13">
        <v>3.4780000000000002</v>
      </c>
      <c r="CJ34" s="13">
        <v>1.667</v>
      </c>
      <c r="CK34" s="13">
        <v>0</v>
      </c>
      <c r="CL34" s="13">
        <v>6.9649999999999999</v>
      </c>
      <c r="CM34" s="13">
        <v>2.2360000000000002</v>
      </c>
      <c r="CN34" s="13">
        <v>5.9329999999999998</v>
      </c>
      <c r="CO34" s="13">
        <v>7.3129999999999997</v>
      </c>
      <c r="CP34" s="13">
        <v>1.732</v>
      </c>
      <c r="CQ34" s="13">
        <v>0</v>
      </c>
      <c r="CR34" s="13">
        <v>10.157</v>
      </c>
      <c r="CS34" s="10">
        <v>0</v>
      </c>
      <c r="CT34" s="10">
        <v>0</v>
      </c>
      <c r="CU34" s="10">
        <v>2.714</v>
      </c>
      <c r="CV34" s="10">
        <v>0.68799999999999994</v>
      </c>
      <c r="CW34" s="10">
        <v>0</v>
      </c>
      <c r="CX34" s="10">
        <v>5.3949999999999996</v>
      </c>
      <c r="CY34" s="10">
        <v>0.97</v>
      </c>
      <c r="CZ34" s="10">
        <v>0</v>
      </c>
    </row>
    <row r="35" spans="2:104" x14ac:dyDescent="0.25">
      <c r="B35" s="5" t="s">
        <v>104</v>
      </c>
      <c r="C35" s="10">
        <v>0</v>
      </c>
      <c r="D35" s="10">
        <v>0</v>
      </c>
      <c r="E35" s="10">
        <v>0.76100000000000001</v>
      </c>
      <c r="F35" s="10">
        <v>5.0250000000000004</v>
      </c>
      <c r="G35" s="10">
        <v>0</v>
      </c>
      <c r="H35" s="10">
        <v>7.7110000000000003</v>
      </c>
      <c r="I35" s="10">
        <v>0</v>
      </c>
      <c r="J35" s="10">
        <v>0</v>
      </c>
      <c r="K35" s="10">
        <v>1.0999999999999999E-2</v>
      </c>
      <c r="L35" s="10">
        <v>111.81100000000001</v>
      </c>
      <c r="M35" s="13">
        <v>0</v>
      </c>
      <c r="N35" s="13">
        <v>2.556</v>
      </c>
      <c r="O35" s="13">
        <v>0.55000000000000004</v>
      </c>
      <c r="P35" s="13">
        <v>0.24299999999999999</v>
      </c>
      <c r="Q35" s="13">
        <v>1.869</v>
      </c>
      <c r="R35" s="13">
        <v>4.9459999999999997</v>
      </c>
      <c r="S35" s="13">
        <v>0</v>
      </c>
      <c r="T35" s="13">
        <v>0</v>
      </c>
      <c r="U35" s="13">
        <v>3.516</v>
      </c>
      <c r="V35" s="13">
        <v>3.802</v>
      </c>
      <c r="W35" s="13">
        <v>1.8109999999999999</v>
      </c>
      <c r="X35" s="13">
        <v>0.39100000000000001</v>
      </c>
      <c r="Y35" s="13">
        <v>1.6850000000000001</v>
      </c>
      <c r="Z35" s="13">
        <v>3.9590000000000001</v>
      </c>
      <c r="AA35" s="13">
        <v>7.36</v>
      </c>
      <c r="AB35" s="13">
        <v>0</v>
      </c>
      <c r="AC35" s="13">
        <v>0.46899999999999997</v>
      </c>
      <c r="AD35" s="13">
        <v>0</v>
      </c>
      <c r="AE35" s="13">
        <v>11.038</v>
      </c>
      <c r="AF35" s="13">
        <v>0</v>
      </c>
      <c r="AG35" s="13">
        <v>0</v>
      </c>
      <c r="AH35" s="13">
        <v>3.266</v>
      </c>
      <c r="AI35" s="13">
        <v>1.669</v>
      </c>
      <c r="AJ35" s="13">
        <v>3.5049999999999999</v>
      </c>
      <c r="AK35" s="13">
        <v>0</v>
      </c>
      <c r="AL35" s="13">
        <v>0</v>
      </c>
      <c r="AM35" s="13">
        <v>3.4860000000000002</v>
      </c>
      <c r="AN35" s="13">
        <v>0</v>
      </c>
      <c r="AO35" s="13">
        <v>9.9649999999999999</v>
      </c>
      <c r="AP35" s="13">
        <v>16.273</v>
      </c>
      <c r="AQ35" s="13">
        <v>0</v>
      </c>
      <c r="AR35" s="10">
        <v>14.497999999999999</v>
      </c>
      <c r="AS35" s="10">
        <v>47.317</v>
      </c>
      <c r="AT35" s="10">
        <v>5.3730000000000002</v>
      </c>
      <c r="AU35" s="10">
        <v>14.933999999999999</v>
      </c>
      <c r="AV35" s="10">
        <v>6.25</v>
      </c>
      <c r="AW35" s="10">
        <v>3.6320000000000001</v>
      </c>
      <c r="AX35" s="10">
        <v>0.255</v>
      </c>
      <c r="AY35" s="10">
        <v>0</v>
      </c>
      <c r="AZ35" s="10">
        <v>5.9020000000000001</v>
      </c>
      <c r="BA35" s="13">
        <v>0.97299999999999998</v>
      </c>
      <c r="BB35" s="13">
        <v>0</v>
      </c>
      <c r="BC35" s="13">
        <v>9.0999999999999998E-2</v>
      </c>
      <c r="BD35" s="13">
        <v>0</v>
      </c>
      <c r="BE35" s="13">
        <v>0.44900000000000001</v>
      </c>
      <c r="BF35" s="13">
        <v>3.8210000000000002</v>
      </c>
      <c r="BG35" s="13">
        <v>1.7170000000000001</v>
      </c>
      <c r="BH35" s="13">
        <v>0</v>
      </c>
      <c r="BI35" s="10">
        <v>2.5720000000000001</v>
      </c>
      <c r="BJ35" s="10">
        <v>0</v>
      </c>
      <c r="BK35" s="10">
        <v>0.53</v>
      </c>
      <c r="BL35" s="13">
        <v>18.893000000000001</v>
      </c>
      <c r="BM35" s="13">
        <v>0</v>
      </c>
      <c r="BN35" s="13">
        <v>0</v>
      </c>
      <c r="BO35" s="13">
        <v>12.27</v>
      </c>
      <c r="BP35" s="13">
        <v>29.007999999999999</v>
      </c>
      <c r="BQ35" s="13">
        <v>36.591999999999999</v>
      </c>
      <c r="BR35" s="10">
        <v>0.91100000000000003</v>
      </c>
      <c r="BS35" s="10">
        <v>3.786</v>
      </c>
      <c r="BT35" s="10">
        <v>1.635</v>
      </c>
      <c r="BU35" s="10">
        <v>0</v>
      </c>
      <c r="BV35" s="10">
        <v>0</v>
      </c>
      <c r="BW35" s="10">
        <v>0</v>
      </c>
      <c r="BX35" s="13">
        <v>0.17699999999999999</v>
      </c>
      <c r="BY35" s="13">
        <v>0.47</v>
      </c>
      <c r="BZ35" s="13">
        <v>0</v>
      </c>
      <c r="CA35" s="13">
        <v>4.9560000000000004</v>
      </c>
      <c r="CB35" s="13">
        <v>9.4770000000000003</v>
      </c>
      <c r="CC35" s="13">
        <v>0</v>
      </c>
      <c r="CD35" s="13">
        <v>14.772</v>
      </c>
      <c r="CE35" s="13">
        <v>7.3680000000000003</v>
      </c>
      <c r="CF35" s="13">
        <v>10.130000000000001</v>
      </c>
      <c r="CG35" s="13">
        <v>11.385</v>
      </c>
      <c r="CH35" s="13">
        <v>0</v>
      </c>
      <c r="CI35" s="13">
        <v>0</v>
      </c>
      <c r="CJ35" s="13">
        <v>3.3340000000000001</v>
      </c>
      <c r="CK35" s="13">
        <v>2.7290000000000001</v>
      </c>
      <c r="CL35" s="13">
        <v>3.0670000000000002</v>
      </c>
      <c r="CM35" s="13">
        <v>0</v>
      </c>
      <c r="CN35" s="13">
        <v>2.9670000000000001</v>
      </c>
      <c r="CO35" s="13">
        <v>6.3710000000000004</v>
      </c>
      <c r="CP35" s="13">
        <v>5.1959999999999997</v>
      </c>
      <c r="CQ35" s="13">
        <v>5.7220000000000004</v>
      </c>
      <c r="CR35" s="13">
        <v>0</v>
      </c>
      <c r="CS35" s="10">
        <v>0.45900000000000002</v>
      </c>
      <c r="CT35" s="10">
        <v>0</v>
      </c>
      <c r="CU35" s="10">
        <v>2.339</v>
      </c>
      <c r="CV35" s="10">
        <v>0</v>
      </c>
      <c r="CW35" s="10">
        <v>0</v>
      </c>
      <c r="CX35" s="10">
        <v>1.855</v>
      </c>
      <c r="CY35" s="10">
        <v>0.48499999999999999</v>
      </c>
      <c r="CZ35" s="10">
        <v>0</v>
      </c>
    </row>
    <row r="36" spans="2:104" x14ac:dyDescent="0.25">
      <c r="B36" s="5" t="s">
        <v>103</v>
      </c>
      <c r="C36" s="10">
        <v>0</v>
      </c>
      <c r="D36" s="10">
        <v>4.577</v>
      </c>
      <c r="E36" s="10">
        <v>0.38</v>
      </c>
      <c r="F36" s="10">
        <v>0</v>
      </c>
      <c r="G36" s="10">
        <v>0</v>
      </c>
      <c r="H36" s="10">
        <v>10.167</v>
      </c>
      <c r="I36" s="10">
        <v>0</v>
      </c>
      <c r="J36" s="10">
        <v>7.7350000000000003</v>
      </c>
      <c r="K36" s="10">
        <v>20.538</v>
      </c>
      <c r="L36" s="10">
        <v>68.537000000000006</v>
      </c>
      <c r="M36" s="13">
        <v>2.556</v>
      </c>
      <c r="N36" s="13">
        <v>1.8879999999999999</v>
      </c>
      <c r="O36" s="13">
        <v>0.41199999999999998</v>
      </c>
      <c r="P36" s="13">
        <v>0.21299999999999999</v>
      </c>
      <c r="Q36" s="13">
        <v>0</v>
      </c>
      <c r="R36" s="13">
        <v>1.012</v>
      </c>
      <c r="S36" s="13">
        <v>1.349</v>
      </c>
      <c r="T36" s="13">
        <v>2.1269999999999998</v>
      </c>
      <c r="U36" s="13">
        <v>2.976</v>
      </c>
      <c r="V36" s="13">
        <v>0.42599999999999999</v>
      </c>
      <c r="W36" s="13">
        <v>1.8109999999999999</v>
      </c>
      <c r="X36" s="13">
        <v>0</v>
      </c>
      <c r="Y36" s="13">
        <v>1.0109999999999999</v>
      </c>
      <c r="Z36" s="13">
        <v>2.702</v>
      </c>
      <c r="AA36" s="13">
        <v>12.367000000000001</v>
      </c>
      <c r="AB36" s="13">
        <v>3.1619999999999999</v>
      </c>
      <c r="AC36" s="13">
        <v>0</v>
      </c>
      <c r="AD36" s="13">
        <v>0</v>
      </c>
      <c r="AE36" s="13">
        <v>13.634</v>
      </c>
      <c r="AF36" s="13">
        <v>1.3</v>
      </c>
      <c r="AG36" s="13">
        <v>7.6999999999999999E-2</v>
      </c>
      <c r="AH36" s="13">
        <v>0</v>
      </c>
      <c r="AI36" s="13">
        <v>4.1719999999999997</v>
      </c>
      <c r="AJ36" s="13">
        <v>3.9380000000000002</v>
      </c>
      <c r="AK36" s="13">
        <v>0.96799999999999997</v>
      </c>
      <c r="AL36" s="13">
        <v>0</v>
      </c>
      <c r="AM36" s="13">
        <v>6.4770000000000003</v>
      </c>
      <c r="AN36" s="13">
        <v>0</v>
      </c>
      <c r="AO36" s="13">
        <v>0</v>
      </c>
      <c r="AP36" s="13">
        <v>15.331</v>
      </c>
      <c r="AQ36" s="13">
        <v>0</v>
      </c>
      <c r="AR36" s="10">
        <v>0</v>
      </c>
      <c r="AS36" s="10">
        <v>24.016999999999999</v>
      </c>
      <c r="AT36" s="10">
        <v>3.5819999999999999</v>
      </c>
      <c r="AU36" s="10">
        <v>0</v>
      </c>
      <c r="AV36" s="10">
        <v>6.25</v>
      </c>
      <c r="AW36" s="10">
        <v>0.75600000000000001</v>
      </c>
      <c r="AX36" s="10">
        <v>0.26100000000000001</v>
      </c>
      <c r="AY36" s="10">
        <v>0</v>
      </c>
      <c r="AZ36" s="10">
        <v>8.7070000000000007</v>
      </c>
      <c r="BA36" s="13">
        <v>0</v>
      </c>
      <c r="BB36" s="13">
        <v>0</v>
      </c>
      <c r="BC36" s="13">
        <v>0</v>
      </c>
      <c r="BD36" s="13">
        <v>0.23</v>
      </c>
      <c r="BE36" s="13">
        <v>0</v>
      </c>
      <c r="BF36" s="13">
        <v>0</v>
      </c>
      <c r="BG36" s="13">
        <v>0</v>
      </c>
      <c r="BH36" s="13">
        <v>2.5539999999999998</v>
      </c>
      <c r="BI36" s="10">
        <v>2.3039999999999998</v>
      </c>
      <c r="BJ36" s="10">
        <v>3.9790000000000001</v>
      </c>
      <c r="BK36" s="10">
        <v>0</v>
      </c>
      <c r="BL36" s="13">
        <v>1.589</v>
      </c>
      <c r="BM36" s="13">
        <v>0</v>
      </c>
      <c r="BN36" s="13">
        <v>0</v>
      </c>
      <c r="BO36" s="13">
        <v>9.8729999999999993</v>
      </c>
      <c r="BP36" s="13">
        <v>0</v>
      </c>
      <c r="BQ36" s="13">
        <v>30.048999999999999</v>
      </c>
      <c r="BR36" s="10">
        <v>0</v>
      </c>
      <c r="BS36" s="10">
        <v>5.6790000000000003</v>
      </c>
      <c r="BT36" s="10">
        <v>4.9039999999999999</v>
      </c>
      <c r="BU36" s="10">
        <v>3.8809999999999998</v>
      </c>
      <c r="BV36" s="10">
        <v>0</v>
      </c>
      <c r="BW36" s="10">
        <v>0</v>
      </c>
      <c r="BX36" s="13">
        <v>0.35499999999999998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15.483000000000001</v>
      </c>
      <c r="CF36" s="13">
        <v>8.577</v>
      </c>
      <c r="CG36" s="13">
        <v>24.783999999999999</v>
      </c>
      <c r="CH36" s="13">
        <v>2.7189999999999999</v>
      </c>
      <c r="CI36" s="13">
        <v>5.0170000000000003</v>
      </c>
      <c r="CJ36" s="13">
        <v>0.73899999999999999</v>
      </c>
      <c r="CK36" s="13">
        <v>9.1300000000000008</v>
      </c>
      <c r="CL36" s="13">
        <v>10.497</v>
      </c>
      <c r="CM36" s="13">
        <v>4.8129999999999997</v>
      </c>
      <c r="CN36" s="13">
        <v>0</v>
      </c>
      <c r="CO36" s="13">
        <v>0</v>
      </c>
      <c r="CP36" s="13">
        <v>5.1959999999999997</v>
      </c>
      <c r="CQ36" s="13">
        <v>1.645</v>
      </c>
      <c r="CR36" s="13">
        <v>3.3460000000000001</v>
      </c>
      <c r="CS36" s="10">
        <v>1.46</v>
      </c>
      <c r="CT36" s="10">
        <v>0</v>
      </c>
      <c r="CU36" s="10">
        <v>3.7909999999999999</v>
      </c>
      <c r="CV36" s="10">
        <v>1.0309999999999999</v>
      </c>
      <c r="CW36" s="10">
        <v>7.1449999999999996</v>
      </c>
      <c r="CX36" s="10">
        <v>0</v>
      </c>
      <c r="CY36" s="10">
        <v>0.28299999999999997</v>
      </c>
      <c r="CZ36" s="10">
        <v>0</v>
      </c>
    </row>
    <row r="37" spans="2:104" x14ac:dyDescent="0.25">
      <c r="B37" s="5" t="s">
        <v>102</v>
      </c>
      <c r="C37" s="10">
        <v>46.057000000000002</v>
      </c>
      <c r="D37" s="10">
        <v>0</v>
      </c>
      <c r="E37" s="10">
        <v>1.141</v>
      </c>
      <c r="F37" s="10">
        <v>0</v>
      </c>
      <c r="G37" s="10">
        <v>1.0449999999999999</v>
      </c>
      <c r="H37" s="10">
        <v>1.075</v>
      </c>
      <c r="I37" s="10">
        <v>19.994</v>
      </c>
      <c r="J37" s="10">
        <v>32.222999999999999</v>
      </c>
      <c r="K37" s="10">
        <v>49.055999999999997</v>
      </c>
      <c r="L37" s="10">
        <v>0</v>
      </c>
      <c r="M37" s="13">
        <v>1.8879999999999999</v>
      </c>
      <c r="N37" s="13">
        <v>0</v>
      </c>
      <c r="O37" s="13">
        <v>0.13700000000000001</v>
      </c>
      <c r="P37" s="13">
        <v>0</v>
      </c>
      <c r="Q37" s="13">
        <v>2.181</v>
      </c>
      <c r="R37" s="13">
        <v>2.024</v>
      </c>
      <c r="S37" s="13">
        <v>0</v>
      </c>
      <c r="T37" s="13">
        <v>0</v>
      </c>
      <c r="U37" s="13">
        <v>1.2450000000000001</v>
      </c>
      <c r="V37" s="13">
        <v>0</v>
      </c>
      <c r="W37" s="13">
        <v>1.202</v>
      </c>
      <c r="X37" s="13">
        <v>0.78300000000000003</v>
      </c>
      <c r="Y37" s="13">
        <v>0.33700000000000002</v>
      </c>
      <c r="Z37" s="13">
        <v>1.91</v>
      </c>
      <c r="AA37" s="13">
        <v>3.1230000000000002</v>
      </c>
      <c r="AB37" s="13">
        <v>2.3170000000000002</v>
      </c>
      <c r="AC37" s="13">
        <v>0</v>
      </c>
      <c r="AD37" s="13">
        <v>0</v>
      </c>
      <c r="AE37" s="13">
        <v>31.103999999999999</v>
      </c>
      <c r="AF37" s="13">
        <v>2.448</v>
      </c>
      <c r="AG37" s="13">
        <v>2.5590000000000002</v>
      </c>
      <c r="AH37" s="13">
        <v>0.56499999999999995</v>
      </c>
      <c r="AI37" s="13">
        <v>1.7829999999999999</v>
      </c>
      <c r="AJ37" s="13">
        <v>2.1030000000000002</v>
      </c>
      <c r="AK37" s="13">
        <v>1.5309999999999999</v>
      </c>
      <c r="AL37" s="13">
        <v>0.96799999999999997</v>
      </c>
      <c r="AM37" s="13">
        <v>19.82</v>
      </c>
      <c r="AN37" s="13">
        <v>0</v>
      </c>
      <c r="AO37" s="13">
        <v>0</v>
      </c>
      <c r="AP37" s="13">
        <v>8.3179999999999996</v>
      </c>
      <c r="AQ37" s="13">
        <v>0</v>
      </c>
      <c r="AR37" s="10">
        <v>9.4619999999999997</v>
      </c>
      <c r="AS37" s="10">
        <v>16.779</v>
      </c>
      <c r="AT37" s="10">
        <v>7.165</v>
      </c>
      <c r="AU37" s="10">
        <v>0</v>
      </c>
      <c r="AV37" s="10">
        <v>0</v>
      </c>
      <c r="AW37" s="10">
        <v>0</v>
      </c>
      <c r="AX37" s="10">
        <v>0.312</v>
      </c>
      <c r="AY37" s="10">
        <v>0</v>
      </c>
      <c r="AZ37" s="10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0">
        <v>3.9620000000000002</v>
      </c>
      <c r="BJ37" s="10">
        <v>1.595</v>
      </c>
      <c r="BK37" s="10">
        <v>0</v>
      </c>
      <c r="BL37" s="13">
        <v>7.9249999999999998</v>
      </c>
      <c r="BM37" s="13">
        <v>3.8690000000000002</v>
      </c>
      <c r="BN37" s="13">
        <v>29.506</v>
      </c>
      <c r="BO37" s="13">
        <v>9.8729999999999993</v>
      </c>
      <c r="BP37" s="13">
        <v>0</v>
      </c>
      <c r="BQ37" s="13">
        <v>0</v>
      </c>
      <c r="BR37" s="10">
        <v>0</v>
      </c>
      <c r="BS37" s="10">
        <v>1.893</v>
      </c>
      <c r="BT37" s="10">
        <v>4.9039999999999999</v>
      </c>
      <c r="BU37" s="10">
        <v>3.8809999999999998</v>
      </c>
      <c r="BV37" s="10">
        <v>0</v>
      </c>
      <c r="BW37" s="10">
        <v>0</v>
      </c>
      <c r="BX37" s="13">
        <v>0.25600000000000001</v>
      </c>
      <c r="BY37" s="13">
        <v>0</v>
      </c>
      <c r="BZ37" s="13">
        <v>0</v>
      </c>
      <c r="CA37" s="13">
        <v>0</v>
      </c>
      <c r="CB37" s="13">
        <v>6.048</v>
      </c>
      <c r="CC37" s="13">
        <v>0</v>
      </c>
      <c r="CD37" s="13">
        <v>26.922999999999998</v>
      </c>
      <c r="CE37" s="13">
        <v>12.353999999999999</v>
      </c>
      <c r="CF37" s="13">
        <v>3.294</v>
      </c>
      <c r="CG37" s="13">
        <v>42.518999999999998</v>
      </c>
      <c r="CH37" s="13">
        <v>2.9329999999999998</v>
      </c>
      <c r="CI37" s="13">
        <v>0.79</v>
      </c>
      <c r="CJ37" s="13">
        <v>0</v>
      </c>
      <c r="CK37" s="13">
        <v>11.023</v>
      </c>
      <c r="CL37" s="13">
        <v>0</v>
      </c>
      <c r="CM37" s="13">
        <v>0</v>
      </c>
      <c r="CN37" s="13">
        <v>5.9329999999999998</v>
      </c>
      <c r="CO37" s="13">
        <v>0</v>
      </c>
      <c r="CP37" s="13">
        <v>3.464</v>
      </c>
      <c r="CQ37" s="13">
        <v>1.841</v>
      </c>
      <c r="CR37" s="13">
        <v>11.577</v>
      </c>
      <c r="CS37" s="10">
        <v>14.474</v>
      </c>
      <c r="CT37" s="10">
        <v>2.56</v>
      </c>
      <c r="CU37" s="10">
        <v>2.65</v>
      </c>
      <c r="CV37" s="10">
        <v>0.68799999999999994</v>
      </c>
      <c r="CW37" s="10">
        <v>8.3420000000000005</v>
      </c>
      <c r="CX37" s="10">
        <v>0.36299999999999999</v>
      </c>
      <c r="CY37" s="10">
        <v>1.1220000000000001</v>
      </c>
      <c r="CZ37" s="10">
        <v>0</v>
      </c>
    </row>
    <row r="38" spans="2:104" x14ac:dyDescent="0.25">
      <c r="B38" s="5" t="s">
        <v>101</v>
      </c>
      <c r="C38" s="10">
        <v>67.543999999999997</v>
      </c>
      <c r="D38" s="10">
        <v>0</v>
      </c>
      <c r="E38" s="10">
        <v>0.76100000000000001</v>
      </c>
      <c r="F38" s="10">
        <v>2.512</v>
      </c>
      <c r="G38" s="10">
        <v>0</v>
      </c>
      <c r="H38" s="10">
        <v>17.010000000000002</v>
      </c>
      <c r="I38" s="10">
        <v>5.7770000000000001</v>
      </c>
      <c r="J38" s="10">
        <v>0</v>
      </c>
      <c r="K38" s="10">
        <v>0</v>
      </c>
      <c r="L38" s="10">
        <v>37.116999999999997</v>
      </c>
      <c r="M38" s="13">
        <v>0</v>
      </c>
      <c r="N38" s="13">
        <v>2.9489999999999998</v>
      </c>
      <c r="O38" s="13">
        <v>0.55000000000000004</v>
      </c>
      <c r="P38" s="13">
        <v>0.24299999999999999</v>
      </c>
      <c r="Q38" s="13">
        <v>1.454</v>
      </c>
      <c r="R38" s="13">
        <v>0</v>
      </c>
      <c r="S38" s="13">
        <v>0</v>
      </c>
      <c r="T38" s="13">
        <v>3.738</v>
      </c>
      <c r="U38" s="13">
        <v>2.4900000000000002</v>
      </c>
      <c r="V38" s="13">
        <v>0.85199999999999998</v>
      </c>
      <c r="W38" s="13">
        <v>1.3740000000000001</v>
      </c>
      <c r="X38" s="13">
        <v>0.39100000000000001</v>
      </c>
      <c r="Y38" s="13">
        <v>1.0109999999999999</v>
      </c>
      <c r="Z38" s="13">
        <v>0.79200000000000004</v>
      </c>
      <c r="AA38" s="13">
        <v>2.2080000000000002</v>
      </c>
      <c r="AB38" s="13">
        <v>0</v>
      </c>
      <c r="AC38" s="13">
        <v>0</v>
      </c>
      <c r="AD38" s="13">
        <v>0</v>
      </c>
      <c r="AE38" s="13">
        <v>15.067</v>
      </c>
      <c r="AF38" s="13">
        <v>5.1340000000000003</v>
      </c>
      <c r="AG38" s="13">
        <v>0</v>
      </c>
      <c r="AH38" s="13">
        <v>0.56499999999999995</v>
      </c>
      <c r="AI38" s="13">
        <v>0.83399999999999996</v>
      </c>
      <c r="AJ38" s="13">
        <v>6.3090000000000002</v>
      </c>
      <c r="AK38" s="13">
        <v>0</v>
      </c>
      <c r="AL38" s="13">
        <v>1.5309999999999999</v>
      </c>
      <c r="AM38" s="13">
        <v>19.82</v>
      </c>
      <c r="AN38" s="13">
        <v>14.901</v>
      </c>
      <c r="AO38" s="13">
        <v>0</v>
      </c>
      <c r="AP38" s="13">
        <v>22.047999999999998</v>
      </c>
      <c r="AQ38" s="13">
        <v>15.205</v>
      </c>
      <c r="AR38" s="10">
        <v>4.7E-2</v>
      </c>
      <c r="AS38" s="10">
        <v>33.558999999999997</v>
      </c>
      <c r="AT38" s="10">
        <v>10.268000000000001</v>
      </c>
      <c r="AU38" s="10">
        <v>7.4669999999999996</v>
      </c>
      <c r="AV38" s="10">
        <v>3.125</v>
      </c>
      <c r="AW38" s="10">
        <v>0</v>
      </c>
      <c r="AX38" s="10">
        <v>0.36699999999999999</v>
      </c>
      <c r="AY38" s="10">
        <v>0</v>
      </c>
      <c r="AZ38" s="10">
        <v>10.78</v>
      </c>
      <c r="BA38" s="13">
        <v>0</v>
      </c>
      <c r="BB38" s="13">
        <v>0</v>
      </c>
      <c r="BC38" s="13">
        <v>0</v>
      </c>
      <c r="BD38" s="13">
        <v>0.45900000000000002</v>
      </c>
      <c r="BE38" s="13">
        <v>1.6890000000000001</v>
      </c>
      <c r="BF38" s="13">
        <v>1.407</v>
      </c>
      <c r="BG38" s="13">
        <v>2.1019999999999999</v>
      </c>
      <c r="BH38" s="13">
        <v>0</v>
      </c>
      <c r="BI38" s="10">
        <v>0</v>
      </c>
      <c r="BJ38" s="10">
        <v>1.99</v>
      </c>
      <c r="BK38" s="10">
        <v>0</v>
      </c>
      <c r="BL38" s="13">
        <v>0</v>
      </c>
      <c r="BM38" s="13">
        <v>6.7919999999999998</v>
      </c>
      <c r="BN38" s="13">
        <v>0</v>
      </c>
      <c r="BO38" s="13">
        <v>3.2909999999999999</v>
      </c>
      <c r="BP38" s="13">
        <v>0</v>
      </c>
      <c r="BQ38" s="13">
        <v>4.5199999999999996</v>
      </c>
      <c r="BR38" s="10">
        <v>0.34</v>
      </c>
      <c r="BS38" s="10">
        <v>2.677</v>
      </c>
      <c r="BT38" s="10">
        <v>0</v>
      </c>
      <c r="BU38" s="10">
        <v>0</v>
      </c>
      <c r="BV38" s="10">
        <v>0</v>
      </c>
      <c r="BW38" s="10">
        <v>0</v>
      </c>
      <c r="BX38" s="13">
        <v>0.35499999999999998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10.41</v>
      </c>
      <c r="CF38" s="13">
        <v>0</v>
      </c>
      <c r="CG38" s="13">
        <v>11.144</v>
      </c>
      <c r="CH38" s="13">
        <v>1.637</v>
      </c>
      <c r="CI38" s="13">
        <v>0</v>
      </c>
      <c r="CJ38" s="13">
        <v>0.97099999999999997</v>
      </c>
      <c r="CK38" s="13">
        <v>7.2779999999999996</v>
      </c>
      <c r="CL38" s="13">
        <v>0</v>
      </c>
      <c r="CM38" s="13">
        <v>0</v>
      </c>
      <c r="CN38" s="13">
        <v>0</v>
      </c>
      <c r="CO38" s="13">
        <v>0</v>
      </c>
      <c r="CP38" s="13">
        <v>3.464</v>
      </c>
      <c r="CQ38" s="13">
        <v>0</v>
      </c>
      <c r="CR38" s="13">
        <v>5.8150000000000004</v>
      </c>
      <c r="CS38" s="10">
        <v>4.3360000000000003</v>
      </c>
      <c r="CT38" s="10">
        <v>5.12</v>
      </c>
      <c r="CU38" s="10">
        <v>5.2359999999999998</v>
      </c>
      <c r="CV38" s="10">
        <v>0</v>
      </c>
      <c r="CW38" s="10">
        <v>0</v>
      </c>
      <c r="CX38" s="10">
        <v>16.486000000000001</v>
      </c>
      <c r="CY38" s="10">
        <v>0.56000000000000005</v>
      </c>
      <c r="CZ38" s="10">
        <v>4.0380000000000003</v>
      </c>
    </row>
    <row r="39" spans="2:104" x14ac:dyDescent="0.25">
      <c r="B39" s="5" t="s">
        <v>100</v>
      </c>
      <c r="C39" s="10" t="s">
        <v>128</v>
      </c>
      <c r="D39" s="10">
        <v>0</v>
      </c>
      <c r="E39" s="10">
        <v>1.141</v>
      </c>
      <c r="F39" s="10">
        <v>5.0250000000000004</v>
      </c>
      <c r="G39" s="10">
        <v>0</v>
      </c>
      <c r="H39" s="10">
        <v>16.928000000000001</v>
      </c>
      <c r="I39" s="10">
        <v>6.1639999999999997</v>
      </c>
      <c r="J39" s="10">
        <v>0</v>
      </c>
      <c r="K39" s="10">
        <v>0</v>
      </c>
      <c r="L39" s="10">
        <v>0</v>
      </c>
      <c r="M39" s="13">
        <v>2.9489999999999998</v>
      </c>
      <c r="N39" s="13">
        <v>0</v>
      </c>
      <c r="O39" s="13">
        <v>0.36899999999999999</v>
      </c>
      <c r="P39" s="13">
        <v>0.24299999999999999</v>
      </c>
      <c r="Q39" s="13">
        <v>2.181</v>
      </c>
      <c r="R39" s="13">
        <v>2.7</v>
      </c>
      <c r="S39" s="13">
        <v>1.6459999999999999</v>
      </c>
      <c r="T39" s="13">
        <v>4.907</v>
      </c>
      <c r="U39" s="13">
        <v>4.3579999999999997</v>
      </c>
      <c r="V39" s="13">
        <v>1.2769999999999999</v>
      </c>
      <c r="W39" s="13">
        <v>0.80200000000000005</v>
      </c>
      <c r="X39" s="13">
        <v>0</v>
      </c>
      <c r="Y39" s="13">
        <v>1.631</v>
      </c>
      <c r="Z39" s="13">
        <v>0</v>
      </c>
      <c r="AA39" s="13">
        <v>2.2080000000000002</v>
      </c>
      <c r="AB39" s="13">
        <v>3.2890000000000001</v>
      </c>
      <c r="AC39" s="13">
        <v>0</v>
      </c>
      <c r="AD39" s="13">
        <v>0</v>
      </c>
      <c r="AE39" s="13">
        <v>2.1800000000000002</v>
      </c>
      <c r="AF39" s="13">
        <v>1.413</v>
      </c>
      <c r="AG39" s="13">
        <v>2.6360000000000001</v>
      </c>
      <c r="AH39" s="13">
        <v>1.1299999999999999</v>
      </c>
      <c r="AI39" s="13">
        <v>7.4009999999999998</v>
      </c>
      <c r="AJ39" s="13">
        <v>2.1030000000000002</v>
      </c>
      <c r="AK39" s="13">
        <v>0</v>
      </c>
      <c r="AL39" s="13">
        <v>0</v>
      </c>
      <c r="AM39" s="13">
        <v>18.416</v>
      </c>
      <c r="AN39" s="13">
        <v>0</v>
      </c>
      <c r="AO39" s="13">
        <v>0</v>
      </c>
      <c r="AP39" s="13">
        <v>0</v>
      </c>
      <c r="AQ39" s="13">
        <v>15.205</v>
      </c>
      <c r="AR39" s="10">
        <v>8.9120000000000008</v>
      </c>
      <c r="AS39" s="10">
        <v>18.704999999999998</v>
      </c>
      <c r="AT39" s="10">
        <v>15.401999999999999</v>
      </c>
      <c r="AU39" s="10">
        <v>9.6229999999999993</v>
      </c>
      <c r="AV39" s="10">
        <v>3.125</v>
      </c>
      <c r="AW39" s="10">
        <v>16.588999999999999</v>
      </c>
      <c r="AX39" s="10">
        <v>0.27</v>
      </c>
      <c r="AY39" s="10">
        <v>0</v>
      </c>
      <c r="AZ39" s="10">
        <v>16.318999999999999</v>
      </c>
      <c r="BA39" s="13">
        <v>0.96199999999999997</v>
      </c>
      <c r="BB39" s="13">
        <v>0</v>
      </c>
      <c r="BC39" s="13">
        <v>0</v>
      </c>
      <c r="BD39" s="13">
        <v>0.61</v>
      </c>
      <c r="BE39" s="13">
        <v>1.6890000000000001</v>
      </c>
      <c r="BF39" s="13">
        <v>2.8140000000000001</v>
      </c>
      <c r="BG39" s="13">
        <v>4.2039999999999997</v>
      </c>
      <c r="BH39" s="13">
        <v>1.7170000000000001</v>
      </c>
      <c r="BI39" s="10">
        <v>3.9620000000000002</v>
      </c>
      <c r="BJ39" s="10">
        <v>8.2270000000000003</v>
      </c>
      <c r="BK39" s="10">
        <v>4.867</v>
      </c>
      <c r="BL39" s="13">
        <v>3.3780000000000001</v>
      </c>
      <c r="BM39" s="13">
        <v>0</v>
      </c>
      <c r="BN39" s="13">
        <v>0</v>
      </c>
      <c r="BO39" s="13">
        <v>0</v>
      </c>
      <c r="BP39" s="13">
        <v>31.596</v>
      </c>
      <c r="BQ39" s="13">
        <v>6.2779999999999996</v>
      </c>
      <c r="BR39" s="10">
        <v>0.14599999999999999</v>
      </c>
      <c r="BS39" s="10">
        <v>7.673</v>
      </c>
      <c r="BT39" s="10">
        <v>3.786</v>
      </c>
      <c r="BU39" s="10">
        <v>1.94</v>
      </c>
      <c r="BV39" s="10">
        <v>2.2970000000000002</v>
      </c>
      <c r="BW39" s="10">
        <v>0</v>
      </c>
      <c r="BX39" s="13">
        <v>0</v>
      </c>
      <c r="BY39" s="13">
        <v>0</v>
      </c>
      <c r="BZ39" s="13">
        <v>0</v>
      </c>
      <c r="CA39" s="13">
        <v>14.596</v>
      </c>
      <c r="CB39" s="13">
        <v>7.4059999999999997</v>
      </c>
      <c r="CC39" s="13">
        <v>0</v>
      </c>
      <c r="CD39" s="13">
        <v>26.922999999999998</v>
      </c>
      <c r="CE39" s="13">
        <v>0</v>
      </c>
      <c r="CF39" s="13">
        <v>12.714</v>
      </c>
      <c r="CG39" s="13">
        <v>31.375</v>
      </c>
      <c r="CH39" s="13">
        <v>5.7089999999999996</v>
      </c>
      <c r="CI39" s="13">
        <v>0</v>
      </c>
      <c r="CJ39" s="13">
        <v>0.97099999999999997</v>
      </c>
      <c r="CK39" s="13">
        <v>3.2069999999999999</v>
      </c>
      <c r="CL39" s="13">
        <v>2.6680000000000001</v>
      </c>
      <c r="CM39" s="13">
        <v>3.3090000000000002</v>
      </c>
      <c r="CN39" s="13">
        <v>2.238</v>
      </c>
      <c r="CO39" s="13">
        <v>0</v>
      </c>
      <c r="CP39" s="13">
        <v>4.4080000000000004</v>
      </c>
      <c r="CQ39" s="13">
        <v>0.68</v>
      </c>
      <c r="CR39" s="13">
        <v>22.262</v>
      </c>
      <c r="CS39" s="10">
        <v>8.1080000000000005</v>
      </c>
      <c r="CT39" s="10">
        <v>0.40799999999999997</v>
      </c>
      <c r="CU39" s="10">
        <v>6.327</v>
      </c>
      <c r="CV39" s="10">
        <v>0.95899999999999996</v>
      </c>
      <c r="CW39" s="10">
        <v>0</v>
      </c>
      <c r="CX39" s="10">
        <v>33.335000000000001</v>
      </c>
      <c r="CY39" s="10">
        <v>2.1890000000000001</v>
      </c>
      <c r="CZ39" s="10">
        <v>0.75600000000000001</v>
      </c>
    </row>
    <row r="40" spans="2:104" x14ac:dyDescent="0.25">
      <c r="B40" s="5" t="s">
        <v>99</v>
      </c>
      <c r="C40" s="10">
        <v>47.496000000000002</v>
      </c>
      <c r="D40" s="10">
        <v>3.6139999999999999</v>
      </c>
      <c r="E40" s="10">
        <v>1.9590000000000001</v>
      </c>
      <c r="F40" s="10">
        <v>12.561</v>
      </c>
      <c r="G40" s="10">
        <v>0</v>
      </c>
      <c r="H40" s="10">
        <v>2.331</v>
      </c>
      <c r="I40" s="10">
        <v>27.47</v>
      </c>
      <c r="J40" s="10">
        <v>0</v>
      </c>
      <c r="K40" s="10">
        <v>0</v>
      </c>
      <c r="L40" s="10">
        <v>24.978999999999999</v>
      </c>
      <c r="M40" s="13">
        <v>0</v>
      </c>
      <c r="N40" s="13">
        <v>0</v>
      </c>
      <c r="O40" s="13">
        <v>0.36899999999999999</v>
      </c>
      <c r="P40" s="13">
        <v>0</v>
      </c>
      <c r="Q40" s="13">
        <v>0</v>
      </c>
      <c r="R40" s="13">
        <v>5.0599999999999996</v>
      </c>
      <c r="S40" s="13">
        <v>0.14099999999999999</v>
      </c>
      <c r="T40" s="13">
        <v>0</v>
      </c>
      <c r="U40" s="13">
        <v>1.2450000000000001</v>
      </c>
      <c r="V40" s="13">
        <v>1.2769999999999999</v>
      </c>
      <c r="W40" s="13">
        <v>0.40100000000000002</v>
      </c>
      <c r="X40" s="13">
        <v>1.0329999999999999</v>
      </c>
      <c r="Y40" s="13">
        <v>0.54400000000000004</v>
      </c>
      <c r="Z40" s="13">
        <v>7.1440000000000001</v>
      </c>
      <c r="AA40" s="13">
        <v>3.258</v>
      </c>
      <c r="AB40" s="13">
        <v>0</v>
      </c>
      <c r="AC40" s="13">
        <v>0</v>
      </c>
      <c r="AD40" s="13">
        <v>7.6120000000000001</v>
      </c>
      <c r="AE40" s="13">
        <v>23.036999999999999</v>
      </c>
      <c r="AF40" s="13">
        <v>0.432</v>
      </c>
      <c r="AG40" s="13">
        <v>11.231</v>
      </c>
      <c r="AH40" s="13">
        <v>0.28299999999999997</v>
      </c>
      <c r="AI40" s="13">
        <v>0</v>
      </c>
      <c r="AJ40" s="13">
        <v>4.2060000000000004</v>
      </c>
      <c r="AK40" s="13">
        <v>0</v>
      </c>
      <c r="AL40" s="13">
        <v>0</v>
      </c>
      <c r="AM40" s="13">
        <v>5.2030000000000003</v>
      </c>
      <c r="AN40" s="13">
        <v>0</v>
      </c>
      <c r="AO40" s="13">
        <v>0</v>
      </c>
      <c r="AP40" s="13">
        <v>0</v>
      </c>
      <c r="AQ40" s="13">
        <v>4.3360000000000003</v>
      </c>
      <c r="AR40" s="10">
        <v>0</v>
      </c>
      <c r="AS40" s="10">
        <v>14.111000000000001</v>
      </c>
      <c r="AT40" s="10">
        <v>5.1340000000000003</v>
      </c>
      <c r="AU40" s="10">
        <v>3.2080000000000002</v>
      </c>
      <c r="AV40" s="10">
        <v>0</v>
      </c>
      <c r="AW40" s="10">
        <v>0</v>
      </c>
      <c r="AX40" s="10">
        <v>0.48499999999999999</v>
      </c>
      <c r="AY40" s="10">
        <v>0</v>
      </c>
      <c r="AZ40" s="10">
        <v>5.83</v>
      </c>
      <c r="BA40" s="13">
        <v>0</v>
      </c>
      <c r="BB40" s="13">
        <v>0</v>
      </c>
      <c r="BC40" s="13">
        <v>0</v>
      </c>
      <c r="BD40" s="13">
        <v>0.30499999999999999</v>
      </c>
      <c r="BE40" s="13">
        <v>1.6890000000000001</v>
      </c>
      <c r="BF40" s="13">
        <v>0</v>
      </c>
      <c r="BG40" s="13">
        <v>0</v>
      </c>
      <c r="BH40" s="13">
        <v>3.8690000000000002</v>
      </c>
      <c r="BI40" s="10">
        <v>7.9240000000000004</v>
      </c>
      <c r="BJ40" s="10">
        <v>0</v>
      </c>
      <c r="BK40" s="10">
        <v>14.6</v>
      </c>
      <c r="BL40" s="13">
        <v>0</v>
      </c>
      <c r="BM40" s="13">
        <v>17.452999999999999</v>
      </c>
      <c r="BN40" s="13">
        <v>28.097000000000001</v>
      </c>
      <c r="BO40" s="13">
        <v>6.6920000000000002</v>
      </c>
      <c r="BP40" s="13">
        <v>18.957999999999998</v>
      </c>
      <c r="BQ40" s="13">
        <v>23.346</v>
      </c>
      <c r="BR40" s="10">
        <v>0.193</v>
      </c>
      <c r="BS40" s="10">
        <v>1.5349999999999999</v>
      </c>
      <c r="BT40" s="10">
        <v>5.6790000000000003</v>
      </c>
      <c r="BU40" s="10">
        <v>5.8209999999999997</v>
      </c>
      <c r="BV40" s="10">
        <v>13.404</v>
      </c>
      <c r="BW40" s="10">
        <v>4.4640000000000004</v>
      </c>
      <c r="BX40" s="13">
        <v>0.94299999999999995</v>
      </c>
      <c r="BY40" s="13">
        <v>0</v>
      </c>
      <c r="BZ40" s="13">
        <v>0</v>
      </c>
      <c r="CA40" s="13">
        <v>0.36499999999999999</v>
      </c>
      <c r="CB40" s="13">
        <v>6.476</v>
      </c>
      <c r="CC40" s="13">
        <v>0</v>
      </c>
      <c r="CD40" s="13">
        <v>11.945</v>
      </c>
      <c r="CE40" s="13">
        <v>15.131</v>
      </c>
      <c r="CF40" s="13">
        <v>36.436999999999998</v>
      </c>
      <c r="CG40" s="13">
        <v>0</v>
      </c>
      <c r="CH40" s="13">
        <v>4.2640000000000002</v>
      </c>
      <c r="CI40" s="13">
        <v>0</v>
      </c>
      <c r="CJ40" s="13">
        <v>0</v>
      </c>
      <c r="CK40" s="13">
        <v>2.27</v>
      </c>
      <c r="CL40" s="13">
        <v>3.452</v>
      </c>
      <c r="CM40" s="13">
        <v>9.2829999999999995</v>
      </c>
      <c r="CN40" s="13">
        <v>1.57</v>
      </c>
      <c r="CO40" s="13">
        <v>0</v>
      </c>
      <c r="CP40" s="13">
        <v>6.6120000000000001</v>
      </c>
      <c r="CQ40" s="13">
        <v>2.093</v>
      </c>
      <c r="CR40" s="13">
        <v>17.945</v>
      </c>
      <c r="CS40" s="10">
        <v>6.2320000000000002</v>
      </c>
      <c r="CT40" s="10">
        <v>6.1989999999999998</v>
      </c>
      <c r="CU40" s="10">
        <v>0</v>
      </c>
      <c r="CV40" s="10">
        <v>0</v>
      </c>
      <c r="CW40" s="10">
        <v>0</v>
      </c>
      <c r="CX40" s="10">
        <v>0.36299999999999999</v>
      </c>
      <c r="CY40" s="10">
        <v>1.6859999999999999</v>
      </c>
      <c r="CZ40" s="10">
        <v>0.378</v>
      </c>
    </row>
    <row r="41" spans="2:104" x14ac:dyDescent="0.25">
      <c r="B41" s="5" t="s">
        <v>98</v>
      </c>
      <c r="C41" s="10">
        <v>41.558999999999997</v>
      </c>
      <c r="D41" s="10">
        <v>3.6139999999999999</v>
      </c>
      <c r="E41" s="10">
        <v>1.47</v>
      </c>
      <c r="F41" s="10">
        <v>0</v>
      </c>
      <c r="G41" s="10">
        <v>0</v>
      </c>
      <c r="H41" s="10">
        <v>17.503</v>
      </c>
      <c r="I41" s="10">
        <v>5.2270000000000003</v>
      </c>
      <c r="J41" s="10">
        <v>19.994</v>
      </c>
      <c r="K41" s="10">
        <v>0</v>
      </c>
      <c r="L41" s="10">
        <v>0</v>
      </c>
      <c r="M41" s="13">
        <v>0</v>
      </c>
      <c r="N41" s="13">
        <v>0</v>
      </c>
      <c r="O41" s="13">
        <v>0</v>
      </c>
      <c r="P41" s="13">
        <v>0.113</v>
      </c>
      <c r="Q41" s="13">
        <v>0.55400000000000005</v>
      </c>
      <c r="R41" s="13">
        <v>3.4470000000000001</v>
      </c>
      <c r="S41" s="13">
        <v>0</v>
      </c>
      <c r="T41" s="13">
        <v>0</v>
      </c>
      <c r="U41" s="13">
        <v>1.556</v>
      </c>
      <c r="V41" s="13">
        <v>0</v>
      </c>
      <c r="W41" s="13">
        <v>0.80200000000000005</v>
      </c>
      <c r="X41" s="13">
        <v>1.0329999999999999</v>
      </c>
      <c r="Y41" s="13">
        <v>0</v>
      </c>
      <c r="Z41" s="13">
        <v>3.359</v>
      </c>
      <c r="AA41" s="13">
        <v>0</v>
      </c>
      <c r="AB41" s="13">
        <v>2.0790000000000002</v>
      </c>
      <c r="AC41" s="13">
        <v>0</v>
      </c>
      <c r="AD41" s="13">
        <v>0</v>
      </c>
      <c r="AE41" s="13">
        <v>0</v>
      </c>
      <c r="AF41" s="13">
        <v>11.72</v>
      </c>
      <c r="AG41" s="13">
        <v>0</v>
      </c>
      <c r="AH41" s="13">
        <v>1.413</v>
      </c>
      <c r="AI41" s="13">
        <v>9.0619999999999994</v>
      </c>
      <c r="AJ41" s="13">
        <v>8.6050000000000004</v>
      </c>
      <c r="AK41" s="13">
        <v>0.76200000000000001</v>
      </c>
      <c r="AL41" s="13">
        <v>0</v>
      </c>
      <c r="AM41" s="13">
        <v>0</v>
      </c>
      <c r="AN41" s="13">
        <v>0</v>
      </c>
      <c r="AO41" s="13">
        <v>2.85</v>
      </c>
      <c r="AP41" s="13">
        <v>0</v>
      </c>
      <c r="AQ41" s="13">
        <v>9.843</v>
      </c>
      <c r="AR41" s="10">
        <v>0</v>
      </c>
      <c r="AS41" s="10">
        <v>16.201000000000001</v>
      </c>
      <c r="AT41" s="10">
        <v>5.1340000000000003</v>
      </c>
      <c r="AU41" s="10">
        <v>3.2080000000000002</v>
      </c>
      <c r="AV41" s="10">
        <v>14.653</v>
      </c>
      <c r="AW41" s="10">
        <v>0</v>
      </c>
      <c r="AX41" s="10">
        <v>0</v>
      </c>
      <c r="AY41" s="10">
        <v>5.8109999999999999</v>
      </c>
      <c r="AZ41" s="10">
        <v>2.621</v>
      </c>
      <c r="BA41" s="13">
        <v>0</v>
      </c>
      <c r="BB41" s="13">
        <v>0.63400000000000001</v>
      </c>
      <c r="BC41" s="13">
        <v>0</v>
      </c>
      <c r="BD41" s="13">
        <v>0</v>
      </c>
      <c r="BE41" s="13">
        <v>1.6890000000000001</v>
      </c>
      <c r="BF41" s="13">
        <v>0</v>
      </c>
      <c r="BG41" s="13">
        <v>0</v>
      </c>
      <c r="BH41" s="13">
        <v>2.9980000000000002</v>
      </c>
      <c r="BI41" s="10">
        <v>0</v>
      </c>
      <c r="BJ41" s="10">
        <v>2.0569999999999999</v>
      </c>
      <c r="BK41" s="10">
        <v>4.867</v>
      </c>
      <c r="BL41" s="13">
        <v>0</v>
      </c>
      <c r="BM41" s="13">
        <v>13.583</v>
      </c>
      <c r="BN41" s="13">
        <v>29.707999999999998</v>
      </c>
      <c r="BO41" s="13">
        <v>3.8050000000000002</v>
      </c>
      <c r="BP41" s="13">
        <v>6.319</v>
      </c>
      <c r="BQ41" s="13">
        <v>46.692999999999998</v>
      </c>
      <c r="BR41" s="10">
        <v>0.629</v>
      </c>
      <c r="BS41" s="10">
        <v>0</v>
      </c>
      <c r="BT41" s="10">
        <v>1.893</v>
      </c>
      <c r="BU41" s="10">
        <v>0</v>
      </c>
      <c r="BV41" s="10">
        <v>5.5540000000000003</v>
      </c>
      <c r="BW41" s="10">
        <v>3.3479999999999999</v>
      </c>
      <c r="BX41" s="13">
        <v>0.35499999999999998</v>
      </c>
      <c r="BY41" s="13">
        <v>0.39300000000000002</v>
      </c>
      <c r="BZ41" s="13">
        <v>0</v>
      </c>
      <c r="CA41" s="13">
        <v>6.694</v>
      </c>
      <c r="CB41" s="13">
        <v>0</v>
      </c>
      <c r="CC41" s="13">
        <v>0</v>
      </c>
      <c r="CD41" s="13">
        <v>0</v>
      </c>
      <c r="CE41" s="13">
        <v>1.252</v>
      </c>
      <c r="CF41" s="13">
        <v>0</v>
      </c>
      <c r="CG41" s="13">
        <v>0</v>
      </c>
      <c r="CH41" s="13">
        <v>0.64700000000000002</v>
      </c>
      <c r="CI41" s="13">
        <v>2.371</v>
      </c>
      <c r="CJ41" s="13">
        <v>1.472</v>
      </c>
      <c r="CK41" s="13">
        <v>5.0049999999999999</v>
      </c>
      <c r="CL41" s="13">
        <v>8.048</v>
      </c>
      <c r="CM41" s="13">
        <v>3.8039999999999998</v>
      </c>
      <c r="CN41" s="13">
        <v>5.3789999999999996</v>
      </c>
      <c r="CO41" s="13">
        <v>3.645</v>
      </c>
      <c r="CP41" s="13">
        <v>2.2040000000000002</v>
      </c>
      <c r="CQ41" s="13">
        <v>3.694</v>
      </c>
      <c r="CR41" s="13">
        <v>1.272</v>
      </c>
      <c r="CS41" s="10">
        <v>2.7040000000000002</v>
      </c>
      <c r="CT41" s="10">
        <v>0</v>
      </c>
      <c r="CU41" s="10">
        <v>0</v>
      </c>
      <c r="CV41" s="10">
        <v>0.32</v>
      </c>
      <c r="CW41" s="10">
        <v>12.648999999999999</v>
      </c>
      <c r="CX41" s="10">
        <v>27.478999999999999</v>
      </c>
      <c r="CY41" s="10">
        <v>0</v>
      </c>
      <c r="CZ41" s="10">
        <v>0.75600000000000001</v>
      </c>
    </row>
    <row r="42" spans="2:104" x14ac:dyDescent="0.25">
      <c r="B42" s="5" t="s">
        <v>97</v>
      </c>
      <c r="C42" s="10">
        <v>29.327000000000002</v>
      </c>
      <c r="D42" s="10">
        <v>3.6139999999999999</v>
      </c>
      <c r="E42" s="10">
        <v>0.49</v>
      </c>
      <c r="F42" s="10">
        <v>2.097</v>
      </c>
      <c r="G42" s="10">
        <v>0.65700000000000003</v>
      </c>
      <c r="H42" s="10">
        <v>23.709</v>
      </c>
      <c r="I42" s="10">
        <v>0</v>
      </c>
      <c r="J42" s="10">
        <v>5.7770000000000001</v>
      </c>
      <c r="K42" s="10">
        <v>5.5E-2</v>
      </c>
      <c r="L42" s="10">
        <v>37.749000000000002</v>
      </c>
      <c r="M42" s="13">
        <v>0</v>
      </c>
      <c r="N42" s="13">
        <v>0</v>
      </c>
      <c r="O42" s="13">
        <v>1.1060000000000001</v>
      </c>
      <c r="P42" s="13">
        <v>0.19400000000000001</v>
      </c>
      <c r="Q42" s="13">
        <v>2.0179999999999998</v>
      </c>
      <c r="R42" s="13">
        <v>3.4470000000000001</v>
      </c>
      <c r="S42" s="13">
        <v>0</v>
      </c>
      <c r="T42" s="13">
        <v>2.1859999999999999</v>
      </c>
      <c r="U42" s="13">
        <v>5.2629999999999999</v>
      </c>
      <c r="V42" s="13">
        <v>0</v>
      </c>
      <c r="W42" s="13">
        <v>2.7010000000000001</v>
      </c>
      <c r="X42" s="13">
        <v>0</v>
      </c>
      <c r="Y42" s="13">
        <v>0.54400000000000004</v>
      </c>
      <c r="Z42" s="13">
        <v>4.1289999999999996</v>
      </c>
      <c r="AA42" s="13">
        <v>0.90100000000000002</v>
      </c>
      <c r="AB42" s="13">
        <v>9.19</v>
      </c>
      <c r="AC42" s="13">
        <v>0</v>
      </c>
      <c r="AD42" s="13">
        <v>5.125</v>
      </c>
      <c r="AE42" s="13">
        <v>23.082999999999998</v>
      </c>
      <c r="AF42" s="13">
        <v>11.72</v>
      </c>
      <c r="AG42" s="13">
        <v>0</v>
      </c>
      <c r="AH42" s="13">
        <v>0</v>
      </c>
      <c r="AI42" s="13">
        <v>6.7960000000000003</v>
      </c>
      <c r="AJ42" s="13">
        <v>3.4420000000000002</v>
      </c>
      <c r="AK42" s="13">
        <v>0</v>
      </c>
      <c r="AL42" s="13">
        <v>0.76200000000000001</v>
      </c>
      <c r="AM42" s="13">
        <v>4.4390000000000001</v>
      </c>
      <c r="AN42" s="13">
        <v>0</v>
      </c>
      <c r="AO42" s="13">
        <v>0</v>
      </c>
      <c r="AP42" s="13">
        <v>13.907999999999999</v>
      </c>
      <c r="AQ42" s="13">
        <v>0</v>
      </c>
      <c r="AR42" s="10">
        <v>0</v>
      </c>
      <c r="AS42" s="10">
        <v>27.741</v>
      </c>
      <c r="AT42" s="10">
        <v>2.5670000000000002</v>
      </c>
      <c r="AU42" s="10">
        <v>12.831</v>
      </c>
      <c r="AV42" s="10">
        <v>0</v>
      </c>
      <c r="AW42" s="10">
        <v>4.7130000000000001</v>
      </c>
      <c r="AX42" s="10">
        <v>0</v>
      </c>
      <c r="AY42" s="10">
        <v>1.748</v>
      </c>
      <c r="AZ42" s="10">
        <v>2.621</v>
      </c>
      <c r="BA42" s="13">
        <v>0.502</v>
      </c>
      <c r="BB42" s="13">
        <v>0</v>
      </c>
      <c r="BC42" s="13">
        <v>0.90400000000000003</v>
      </c>
      <c r="BD42" s="13">
        <v>0</v>
      </c>
      <c r="BE42" s="13">
        <v>0.65300000000000002</v>
      </c>
      <c r="BF42" s="13">
        <v>0</v>
      </c>
      <c r="BG42" s="13">
        <v>0.47799999999999998</v>
      </c>
      <c r="BH42" s="13">
        <v>1.2809999999999999</v>
      </c>
      <c r="BI42" s="10">
        <v>4.319</v>
      </c>
      <c r="BJ42" s="10">
        <v>4.1130000000000004</v>
      </c>
      <c r="BK42" s="10">
        <v>0</v>
      </c>
      <c r="BL42" s="13">
        <v>0</v>
      </c>
      <c r="BM42" s="13">
        <v>0</v>
      </c>
      <c r="BN42" s="13">
        <v>6.9809999999999999</v>
      </c>
      <c r="BO42" s="13">
        <v>3.3460000000000001</v>
      </c>
      <c r="BP42" s="13">
        <v>0</v>
      </c>
      <c r="BQ42" s="13">
        <v>19.442</v>
      </c>
      <c r="BR42" s="10">
        <v>1.2589999999999999</v>
      </c>
      <c r="BS42" s="10">
        <v>3.069</v>
      </c>
      <c r="BT42" s="10">
        <v>2.677</v>
      </c>
      <c r="BU42" s="10">
        <v>2.2429999999999999</v>
      </c>
      <c r="BV42" s="10">
        <v>0</v>
      </c>
      <c r="BW42" s="10">
        <v>2.7029999999999998</v>
      </c>
      <c r="BX42" s="13">
        <v>0.35499999999999998</v>
      </c>
      <c r="BY42" s="13">
        <v>0</v>
      </c>
      <c r="BZ42" s="13">
        <v>0</v>
      </c>
      <c r="CA42" s="13">
        <v>6.0720000000000001</v>
      </c>
      <c r="CB42" s="13">
        <v>13.996</v>
      </c>
      <c r="CC42" s="13">
        <v>0</v>
      </c>
      <c r="CD42" s="13">
        <v>22.006</v>
      </c>
      <c r="CE42" s="13">
        <v>21.047000000000001</v>
      </c>
      <c r="CF42" s="13">
        <v>24.097999999999999</v>
      </c>
      <c r="CG42" s="13">
        <v>19.817</v>
      </c>
      <c r="CH42" s="13">
        <v>4.99</v>
      </c>
      <c r="CI42" s="13">
        <v>0.54100000000000004</v>
      </c>
      <c r="CJ42" s="13">
        <v>0</v>
      </c>
      <c r="CK42" s="13">
        <v>3.2280000000000002</v>
      </c>
      <c r="CL42" s="13">
        <v>0</v>
      </c>
      <c r="CM42" s="13">
        <v>0.64200000000000002</v>
      </c>
      <c r="CN42" s="13">
        <v>4.7110000000000003</v>
      </c>
      <c r="CO42" s="13">
        <v>0</v>
      </c>
      <c r="CP42" s="13">
        <v>2.2040000000000002</v>
      </c>
      <c r="CQ42" s="13">
        <v>0</v>
      </c>
      <c r="CR42" s="13">
        <v>11.397</v>
      </c>
      <c r="CS42" s="10">
        <v>0</v>
      </c>
      <c r="CT42" s="10">
        <v>0.32800000000000001</v>
      </c>
      <c r="CU42" s="10">
        <v>0</v>
      </c>
      <c r="CV42" s="10">
        <v>0</v>
      </c>
      <c r="CW42" s="10">
        <v>19.472000000000001</v>
      </c>
      <c r="CX42" s="10">
        <v>5.0380000000000003</v>
      </c>
      <c r="CY42" s="10">
        <v>0.996</v>
      </c>
      <c r="CZ42" s="10">
        <v>0.75600000000000001</v>
      </c>
    </row>
    <row r="43" spans="2:104" x14ac:dyDescent="0.25">
      <c r="B43" s="5" t="s">
        <v>96</v>
      </c>
      <c r="C43" s="10">
        <v>52.540999999999997</v>
      </c>
      <c r="D43" s="10">
        <v>0.36</v>
      </c>
      <c r="E43" s="10">
        <v>0.98</v>
      </c>
      <c r="F43" s="10">
        <v>4.194</v>
      </c>
      <c r="G43" s="10">
        <v>0</v>
      </c>
      <c r="H43" s="10">
        <v>0</v>
      </c>
      <c r="I43" s="10">
        <v>9.8559999999999999</v>
      </c>
      <c r="J43" s="10">
        <v>6.1639999999999997</v>
      </c>
      <c r="K43" s="10">
        <v>0</v>
      </c>
      <c r="L43" s="10">
        <v>5.702</v>
      </c>
      <c r="M43" s="13">
        <v>0</v>
      </c>
      <c r="N43" s="13">
        <v>0</v>
      </c>
      <c r="O43" s="13">
        <v>0.73699999999999999</v>
      </c>
      <c r="P43" s="13">
        <v>0</v>
      </c>
      <c r="Q43" s="13">
        <v>3.85</v>
      </c>
      <c r="R43" s="13">
        <v>5.1710000000000003</v>
      </c>
      <c r="S43" s="13">
        <v>0</v>
      </c>
      <c r="T43" s="13">
        <v>0.72899999999999998</v>
      </c>
      <c r="U43" s="13">
        <v>1.409</v>
      </c>
      <c r="V43" s="13">
        <v>1.7170000000000001</v>
      </c>
      <c r="W43" s="13">
        <v>1.351</v>
      </c>
      <c r="X43" s="13">
        <v>0</v>
      </c>
      <c r="Y43" s="13">
        <v>0</v>
      </c>
      <c r="Z43" s="13">
        <v>3.359</v>
      </c>
      <c r="AA43" s="13">
        <v>1.6259999999999999</v>
      </c>
      <c r="AB43" s="13">
        <v>18.38</v>
      </c>
      <c r="AC43" s="13">
        <v>0</v>
      </c>
      <c r="AD43" s="13">
        <v>5.125</v>
      </c>
      <c r="AE43" s="13">
        <v>13.71</v>
      </c>
      <c r="AF43" s="13">
        <v>0</v>
      </c>
      <c r="AG43" s="13">
        <v>7.83</v>
      </c>
      <c r="AH43" s="13">
        <v>1.085</v>
      </c>
      <c r="AI43" s="13">
        <v>6.7960000000000003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9.843</v>
      </c>
      <c r="AR43" s="10">
        <v>2.7770000000000001</v>
      </c>
      <c r="AS43" s="10">
        <v>16.201000000000001</v>
      </c>
      <c r="AT43" s="10">
        <v>4.681</v>
      </c>
      <c r="AU43" s="10">
        <v>3.2080000000000002</v>
      </c>
      <c r="AV43" s="10">
        <v>0</v>
      </c>
      <c r="AW43" s="10">
        <v>2.4500000000000002</v>
      </c>
      <c r="AX43" s="10">
        <v>0</v>
      </c>
      <c r="AY43" s="10">
        <v>0</v>
      </c>
      <c r="AZ43" s="10">
        <v>3.2679999999999998</v>
      </c>
      <c r="BA43" s="13">
        <v>0</v>
      </c>
      <c r="BB43" s="13">
        <v>0</v>
      </c>
      <c r="BC43" s="13">
        <v>0</v>
      </c>
      <c r="BD43" s="13">
        <v>0</v>
      </c>
      <c r="BE43" s="13">
        <v>0.65300000000000002</v>
      </c>
      <c r="BF43" s="13">
        <v>2.855</v>
      </c>
      <c r="BG43" s="13">
        <v>0</v>
      </c>
      <c r="BH43" s="13">
        <v>6.1429999999999998</v>
      </c>
      <c r="BI43" s="10">
        <v>3.6389999999999998</v>
      </c>
      <c r="BJ43" s="10">
        <v>0</v>
      </c>
      <c r="BK43" s="10">
        <v>0</v>
      </c>
      <c r="BL43" s="13">
        <v>27.292000000000002</v>
      </c>
      <c r="BM43" s="13">
        <v>12.481999999999999</v>
      </c>
      <c r="BN43" s="13">
        <v>21.116</v>
      </c>
      <c r="BO43" s="13">
        <v>1.214</v>
      </c>
      <c r="BP43" s="13">
        <v>0</v>
      </c>
      <c r="BQ43" s="13">
        <v>0</v>
      </c>
      <c r="BR43" s="10">
        <v>1.8879999999999999</v>
      </c>
      <c r="BS43" s="10">
        <v>3.069</v>
      </c>
      <c r="BT43" s="10">
        <v>7.673</v>
      </c>
      <c r="BU43" s="10">
        <v>1.496</v>
      </c>
      <c r="BV43" s="10">
        <v>0</v>
      </c>
      <c r="BW43" s="10">
        <v>5.95</v>
      </c>
      <c r="BX43" s="13">
        <v>0.32100000000000001</v>
      </c>
      <c r="BY43" s="13">
        <v>0</v>
      </c>
      <c r="BZ43" s="13">
        <v>8.2189999999999994</v>
      </c>
      <c r="CA43" s="13">
        <v>23.664000000000001</v>
      </c>
      <c r="CB43" s="13">
        <v>8.5050000000000008</v>
      </c>
      <c r="CC43" s="13">
        <v>0</v>
      </c>
      <c r="CD43" s="13">
        <v>0</v>
      </c>
      <c r="CE43" s="13">
        <v>11.763999999999999</v>
      </c>
      <c r="CF43" s="13">
        <v>19.713000000000001</v>
      </c>
      <c r="CG43" s="13">
        <v>22.875</v>
      </c>
      <c r="CH43" s="13">
        <v>2.1659999999999999</v>
      </c>
      <c r="CI43" s="13">
        <v>1.3340000000000001</v>
      </c>
      <c r="CJ43" s="13">
        <v>0</v>
      </c>
      <c r="CK43" s="13">
        <v>1.7789999999999999</v>
      </c>
      <c r="CL43" s="13">
        <v>8.048</v>
      </c>
      <c r="CM43" s="13">
        <v>10.701000000000001</v>
      </c>
      <c r="CN43" s="13">
        <v>3.141</v>
      </c>
      <c r="CO43" s="13">
        <v>6.165</v>
      </c>
      <c r="CP43" s="13">
        <v>4.4080000000000004</v>
      </c>
      <c r="CQ43" s="13">
        <v>0</v>
      </c>
      <c r="CR43" s="13">
        <v>22.795000000000002</v>
      </c>
      <c r="CS43" s="10">
        <v>0</v>
      </c>
      <c r="CT43" s="10">
        <v>0</v>
      </c>
      <c r="CU43" s="10">
        <v>1.2649999999999999</v>
      </c>
      <c r="CV43" s="10">
        <v>0.11</v>
      </c>
      <c r="CW43" s="10">
        <v>0</v>
      </c>
      <c r="CX43" s="10">
        <v>6.87</v>
      </c>
      <c r="CY43" s="10">
        <v>1.9910000000000001</v>
      </c>
      <c r="CZ43" s="10">
        <v>0.378</v>
      </c>
    </row>
    <row r="44" spans="2:104" x14ac:dyDescent="0.25">
      <c r="B44" s="5" t="s">
        <v>95</v>
      </c>
      <c r="C44" s="10">
        <v>9.5190000000000001</v>
      </c>
      <c r="D44" s="10">
        <v>1.429</v>
      </c>
      <c r="E44" s="10">
        <v>0.98</v>
      </c>
      <c r="F44" s="10">
        <v>0</v>
      </c>
      <c r="G44" s="10">
        <v>0</v>
      </c>
      <c r="H44" s="10">
        <v>0</v>
      </c>
      <c r="I44" s="10">
        <v>0</v>
      </c>
      <c r="J44" s="10">
        <v>27.47</v>
      </c>
      <c r="K44" s="10">
        <v>0</v>
      </c>
      <c r="L44" s="10">
        <v>0</v>
      </c>
      <c r="M44" s="13">
        <v>0</v>
      </c>
      <c r="N44" s="13">
        <v>3.5739999999999998</v>
      </c>
      <c r="O44" s="13">
        <v>0</v>
      </c>
      <c r="P44" s="13">
        <v>0.19400000000000001</v>
      </c>
      <c r="Q44" s="13">
        <v>2.7480000000000002</v>
      </c>
      <c r="R44" s="13">
        <v>3.4470000000000001</v>
      </c>
      <c r="S44" s="13">
        <v>3.2229999999999999</v>
      </c>
      <c r="T44" s="13">
        <v>2.9140000000000001</v>
      </c>
      <c r="U44" s="13">
        <v>0</v>
      </c>
      <c r="V44" s="13">
        <v>1.7170000000000001</v>
      </c>
      <c r="W44" s="13">
        <v>0</v>
      </c>
      <c r="X44" s="13">
        <v>0</v>
      </c>
      <c r="Y44" s="13">
        <v>0.92</v>
      </c>
      <c r="Z44" s="13">
        <v>2.2759999999999998</v>
      </c>
      <c r="AA44" s="13">
        <v>0</v>
      </c>
      <c r="AB44" s="13">
        <v>9.6110000000000007</v>
      </c>
      <c r="AC44" s="13">
        <v>0</v>
      </c>
      <c r="AD44" s="13">
        <v>6.7830000000000004</v>
      </c>
      <c r="AE44" s="13">
        <v>2.214</v>
      </c>
      <c r="AF44" s="13">
        <v>3.54</v>
      </c>
      <c r="AG44" s="13">
        <v>0</v>
      </c>
      <c r="AH44" s="13">
        <v>0</v>
      </c>
      <c r="AI44" s="13">
        <v>4.8029999999999999</v>
      </c>
      <c r="AJ44" s="13">
        <v>3.4420000000000002</v>
      </c>
      <c r="AK44" s="13">
        <v>0</v>
      </c>
      <c r="AL44" s="13">
        <v>0</v>
      </c>
      <c r="AM44" s="13">
        <v>8.8770000000000007</v>
      </c>
      <c r="AN44" s="13">
        <v>0</v>
      </c>
      <c r="AO44" s="13">
        <v>0</v>
      </c>
      <c r="AP44" s="13">
        <v>0</v>
      </c>
      <c r="AQ44" s="13">
        <v>0</v>
      </c>
      <c r="AR44" s="10">
        <v>23.440999999999999</v>
      </c>
      <c r="AS44" s="10">
        <v>50.798000000000002</v>
      </c>
      <c r="AT44" s="10">
        <v>2.34</v>
      </c>
      <c r="AU44" s="10">
        <v>0</v>
      </c>
      <c r="AV44" s="10">
        <v>3.3490000000000002</v>
      </c>
      <c r="AW44" s="10">
        <v>0</v>
      </c>
      <c r="AX44" s="10">
        <v>0</v>
      </c>
      <c r="AY44" s="10">
        <v>1.748</v>
      </c>
      <c r="AZ44" s="10">
        <v>3.2679999999999998</v>
      </c>
      <c r="BA44" s="13">
        <v>0.438</v>
      </c>
      <c r="BB44" s="13">
        <v>0</v>
      </c>
      <c r="BC44" s="13">
        <v>0</v>
      </c>
      <c r="BD44" s="13">
        <v>0</v>
      </c>
      <c r="BE44" s="13">
        <v>1.3049999999999999</v>
      </c>
      <c r="BF44" s="13">
        <v>0</v>
      </c>
      <c r="BG44" s="13">
        <v>0.56599999999999995</v>
      </c>
      <c r="BH44" s="13">
        <v>0</v>
      </c>
      <c r="BI44" s="10">
        <v>4.319</v>
      </c>
      <c r="BJ44" s="10">
        <v>0</v>
      </c>
      <c r="BK44" s="10">
        <v>0</v>
      </c>
      <c r="BL44" s="13">
        <v>9.0969999999999995</v>
      </c>
      <c r="BM44" s="13">
        <v>0</v>
      </c>
      <c r="BN44" s="13">
        <v>22.968</v>
      </c>
      <c r="BO44" s="13">
        <v>0</v>
      </c>
      <c r="BP44" s="13">
        <v>0</v>
      </c>
      <c r="BQ44" s="13">
        <v>0</v>
      </c>
      <c r="BR44" s="10">
        <v>2.5169999999999999</v>
      </c>
      <c r="BS44" s="10">
        <v>0</v>
      </c>
      <c r="BT44" s="10">
        <v>1.5349999999999999</v>
      </c>
      <c r="BU44" s="10">
        <v>1.496</v>
      </c>
      <c r="BV44" s="10">
        <v>0</v>
      </c>
      <c r="BW44" s="10">
        <v>5.2549999999999999</v>
      </c>
      <c r="BX44" s="13">
        <v>0.16</v>
      </c>
      <c r="BY44" s="13">
        <v>0.57599999999999996</v>
      </c>
      <c r="BZ44" s="13">
        <v>51.613999999999997</v>
      </c>
      <c r="CA44" s="13">
        <v>16.602</v>
      </c>
      <c r="CB44" s="13">
        <v>3.89</v>
      </c>
      <c r="CC44" s="13">
        <v>0</v>
      </c>
      <c r="CD44" s="13">
        <v>11.335000000000001</v>
      </c>
      <c r="CE44" s="13">
        <v>21.047000000000001</v>
      </c>
      <c r="CF44" s="13">
        <v>12.785</v>
      </c>
      <c r="CG44" s="13">
        <v>0</v>
      </c>
      <c r="CH44" s="13">
        <v>1.542</v>
      </c>
      <c r="CI44" s="13">
        <v>1.03</v>
      </c>
      <c r="CJ44" s="13">
        <v>1.726</v>
      </c>
      <c r="CK44" s="13">
        <v>4.5170000000000003</v>
      </c>
      <c r="CL44" s="13">
        <v>0</v>
      </c>
      <c r="CM44" s="13">
        <v>0.23699999999999999</v>
      </c>
      <c r="CN44" s="13">
        <v>1.3049999999999999</v>
      </c>
      <c r="CO44" s="13">
        <v>6.165</v>
      </c>
      <c r="CP44" s="13">
        <v>2.2040000000000002</v>
      </c>
      <c r="CQ44" s="13">
        <v>0</v>
      </c>
      <c r="CR44" s="13">
        <v>17.274000000000001</v>
      </c>
      <c r="CS44" s="10">
        <v>0</v>
      </c>
      <c r="CT44" s="10">
        <v>2.6179999999999999</v>
      </c>
      <c r="CU44" s="10">
        <v>1.4970000000000001</v>
      </c>
      <c r="CV44" s="10">
        <v>0</v>
      </c>
      <c r="CW44" s="10">
        <v>0</v>
      </c>
      <c r="CX44" s="10">
        <v>0</v>
      </c>
      <c r="CY44" s="10">
        <v>2.9870000000000001</v>
      </c>
      <c r="CZ44" s="10">
        <v>0</v>
      </c>
    </row>
    <row r="45" spans="2:104" x14ac:dyDescent="0.25">
      <c r="B45" s="5" t="s">
        <v>94</v>
      </c>
      <c r="C45" s="10">
        <v>0</v>
      </c>
      <c r="D45" s="10">
        <v>0</v>
      </c>
      <c r="E45" s="10">
        <v>0</v>
      </c>
      <c r="F45" s="10">
        <v>6.2910000000000004</v>
      </c>
      <c r="G45" s="10">
        <v>0.65700000000000003</v>
      </c>
      <c r="H45" s="10">
        <v>9.0670000000000002</v>
      </c>
      <c r="I45" s="10">
        <v>18.667000000000002</v>
      </c>
      <c r="J45" s="10">
        <v>5.2270000000000003</v>
      </c>
      <c r="K45" s="10">
        <v>0</v>
      </c>
      <c r="L45" s="10">
        <v>1.425</v>
      </c>
      <c r="M45" s="13">
        <v>3.5739999999999998</v>
      </c>
      <c r="N45" s="13">
        <v>0</v>
      </c>
      <c r="O45" s="13">
        <v>0.221</v>
      </c>
      <c r="P45" s="13">
        <v>0</v>
      </c>
      <c r="Q45" s="13">
        <v>2.7480000000000002</v>
      </c>
      <c r="R45" s="13">
        <v>3.4470000000000001</v>
      </c>
      <c r="S45" s="13">
        <v>0</v>
      </c>
      <c r="T45" s="13">
        <v>0.72899999999999998</v>
      </c>
      <c r="U45" s="13">
        <v>4.1310000000000002</v>
      </c>
      <c r="V45" s="13">
        <v>0</v>
      </c>
      <c r="W45" s="13">
        <v>1.351</v>
      </c>
      <c r="X45" s="13">
        <v>0.317</v>
      </c>
      <c r="Y45" s="13">
        <v>0.73599999999999999</v>
      </c>
      <c r="Z45" s="13">
        <v>2.762</v>
      </c>
      <c r="AA45" s="13">
        <v>1.8740000000000001</v>
      </c>
      <c r="AB45" s="13">
        <v>8.8010000000000002</v>
      </c>
      <c r="AC45" s="13">
        <v>0</v>
      </c>
      <c r="AD45" s="13">
        <v>13.566000000000001</v>
      </c>
      <c r="AE45" s="13">
        <v>42.667999999999999</v>
      </c>
      <c r="AF45" s="13">
        <v>0</v>
      </c>
      <c r="AG45" s="13">
        <v>0</v>
      </c>
      <c r="AH45" s="13">
        <v>0.72299999999999998</v>
      </c>
      <c r="AI45" s="13">
        <v>14.409000000000001</v>
      </c>
      <c r="AJ45" s="13">
        <v>5.1630000000000003</v>
      </c>
      <c r="AK45" s="13">
        <v>0</v>
      </c>
      <c r="AL45" s="13">
        <v>0</v>
      </c>
      <c r="AM45" s="13">
        <v>4.4390000000000001</v>
      </c>
      <c r="AN45" s="13">
        <v>0</v>
      </c>
      <c r="AO45" s="13">
        <v>0</v>
      </c>
      <c r="AP45" s="13">
        <v>28.626000000000001</v>
      </c>
      <c r="AQ45" s="13">
        <v>23.06</v>
      </c>
      <c r="AR45" s="10">
        <v>43.533999999999999</v>
      </c>
      <c r="AS45" s="10">
        <v>16.201000000000001</v>
      </c>
      <c r="AT45" s="10">
        <v>7.0209999999999999</v>
      </c>
      <c r="AU45" s="10">
        <v>0</v>
      </c>
      <c r="AV45" s="10">
        <v>8.7059999999999995</v>
      </c>
      <c r="AW45" s="10">
        <v>8.0039999999999996</v>
      </c>
      <c r="AX45" s="10">
        <v>0.157</v>
      </c>
      <c r="AY45" s="10">
        <v>1.748</v>
      </c>
      <c r="AZ45" s="10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2.827</v>
      </c>
      <c r="BH45" s="13">
        <v>0</v>
      </c>
      <c r="BI45" s="10">
        <v>0</v>
      </c>
      <c r="BJ45" s="10">
        <v>4.0960000000000001</v>
      </c>
      <c r="BK45" s="10">
        <v>6.0990000000000002</v>
      </c>
      <c r="BL45" s="13">
        <v>0</v>
      </c>
      <c r="BM45" s="13">
        <v>24.963000000000001</v>
      </c>
      <c r="BN45" s="13">
        <v>28.599</v>
      </c>
      <c r="BO45" s="13">
        <v>6.44</v>
      </c>
      <c r="BP45" s="13">
        <v>14.666</v>
      </c>
      <c r="BQ45" s="13">
        <v>13.89</v>
      </c>
      <c r="BR45" s="10">
        <v>0.996</v>
      </c>
      <c r="BS45" s="10">
        <v>1.1359999999999999</v>
      </c>
      <c r="BT45" s="10">
        <v>0</v>
      </c>
      <c r="BU45" s="10">
        <v>0.748</v>
      </c>
      <c r="BV45" s="10">
        <v>5.2389999999999999</v>
      </c>
      <c r="BW45" s="10">
        <v>0</v>
      </c>
      <c r="BX45" s="13">
        <v>0.48099999999999998</v>
      </c>
      <c r="BY45" s="13">
        <v>0.34699999999999998</v>
      </c>
      <c r="BZ45" s="13">
        <v>20.137</v>
      </c>
      <c r="CA45" s="13">
        <v>18.283000000000001</v>
      </c>
      <c r="CB45" s="13">
        <v>0.17499999999999999</v>
      </c>
      <c r="CC45" s="13">
        <v>0</v>
      </c>
      <c r="CD45" s="13">
        <v>23.183</v>
      </c>
      <c r="CE45" s="13">
        <v>0</v>
      </c>
      <c r="CF45" s="13">
        <v>0</v>
      </c>
      <c r="CG45" s="13">
        <v>0</v>
      </c>
      <c r="CH45" s="13">
        <v>4.0369999999999999</v>
      </c>
      <c r="CI45" s="13">
        <v>3.5779999999999998</v>
      </c>
      <c r="CJ45" s="13">
        <v>3.355</v>
      </c>
      <c r="CK45" s="13">
        <v>0</v>
      </c>
      <c r="CL45" s="13">
        <v>0</v>
      </c>
      <c r="CM45" s="13">
        <v>0</v>
      </c>
      <c r="CN45" s="13">
        <v>2.61</v>
      </c>
      <c r="CO45" s="13">
        <v>6.165</v>
      </c>
      <c r="CP45" s="13">
        <v>2.0499999999999998</v>
      </c>
      <c r="CQ45" s="13">
        <v>0</v>
      </c>
      <c r="CR45" s="13">
        <v>11.397</v>
      </c>
      <c r="CS45" s="10">
        <v>1.0049999999999999</v>
      </c>
      <c r="CT45" s="10">
        <v>2.7669999999999999</v>
      </c>
      <c r="CU45" s="10">
        <v>0</v>
      </c>
      <c r="CV45" s="10">
        <v>0.68200000000000005</v>
      </c>
      <c r="CW45" s="10">
        <v>0</v>
      </c>
      <c r="CX45" s="10">
        <v>6.87</v>
      </c>
      <c r="CY45" s="10">
        <v>0.996</v>
      </c>
      <c r="CZ45" s="10">
        <v>0</v>
      </c>
    </row>
    <row r="46" spans="2:104" x14ac:dyDescent="0.25">
      <c r="B46" s="5" t="s">
        <v>93</v>
      </c>
      <c r="C46" s="10">
        <v>49.484999999999999</v>
      </c>
      <c r="D46" s="10">
        <v>0</v>
      </c>
      <c r="E46" s="10">
        <v>0.16700000000000001</v>
      </c>
      <c r="F46" s="10">
        <v>5.8780000000000001</v>
      </c>
      <c r="G46" s="10">
        <v>1.1419999999999999</v>
      </c>
      <c r="H46" s="10">
        <v>10.539</v>
      </c>
      <c r="I46" s="10">
        <v>9.5609999999999999</v>
      </c>
      <c r="J46" s="10">
        <v>0</v>
      </c>
      <c r="K46" s="10">
        <v>76.724999999999994</v>
      </c>
      <c r="L46" s="10">
        <v>25.768000000000001</v>
      </c>
      <c r="M46" s="13">
        <v>0</v>
      </c>
      <c r="N46" s="13">
        <v>5.9939999999999998</v>
      </c>
      <c r="O46" s="13">
        <v>0.441</v>
      </c>
      <c r="P46" s="13">
        <v>9.7000000000000003E-2</v>
      </c>
      <c r="Q46" s="13">
        <v>0.91600000000000004</v>
      </c>
      <c r="R46" s="13">
        <v>0</v>
      </c>
      <c r="S46" s="13">
        <v>0</v>
      </c>
      <c r="T46" s="13">
        <v>1.4570000000000001</v>
      </c>
      <c r="U46" s="13">
        <v>1.819</v>
      </c>
      <c r="V46" s="13">
        <v>0</v>
      </c>
      <c r="W46" s="13">
        <v>1.351</v>
      </c>
      <c r="X46" s="13">
        <v>0.317</v>
      </c>
      <c r="Y46" s="13">
        <v>0</v>
      </c>
      <c r="Z46" s="13">
        <v>0</v>
      </c>
      <c r="AA46" s="13">
        <v>0</v>
      </c>
      <c r="AB46" s="13">
        <v>3.875</v>
      </c>
      <c r="AC46" s="13">
        <v>0</v>
      </c>
      <c r="AD46" s="13">
        <v>0</v>
      </c>
      <c r="AE46" s="13">
        <v>23.841999999999999</v>
      </c>
      <c r="AF46" s="13">
        <v>0</v>
      </c>
      <c r="AG46" s="13">
        <v>4.7229999999999999</v>
      </c>
      <c r="AH46" s="13">
        <v>0.36199999999999999</v>
      </c>
      <c r="AI46" s="13">
        <v>9.6059999999999999</v>
      </c>
      <c r="AJ46" s="13">
        <v>0</v>
      </c>
      <c r="AK46" s="13">
        <v>0</v>
      </c>
      <c r="AL46" s="13">
        <v>0</v>
      </c>
      <c r="AM46" s="13">
        <v>13.316000000000001</v>
      </c>
      <c r="AN46" s="13">
        <v>8.61</v>
      </c>
      <c r="AO46" s="13">
        <v>0</v>
      </c>
      <c r="AP46" s="13">
        <v>8.8849999999999998</v>
      </c>
      <c r="AQ46" s="13">
        <v>6.2590000000000003</v>
      </c>
      <c r="AR46" s="10">
        <v>19.861999999999998</v>
      </c>
      <c r="AS46" s="10">
        <v>27.172000000000001</v>
      </c>
      <c r="AT46" s="10">
        <v>2.34</v>
      </c>
      <c r="AU46" s="10">
        <v>0</v>
      </c>
      <c r="AV46" s="10">
        <v>6.9669999999999996</v>
      </c>
      <c r="AW46" s="10">
        <v>0</v>
      </c>
      <c r="AX46" s="10">
        <v>0.35899999999999999</v>
      </c>
      <c r="AY46" s="10">
        <v>1.748</v>
      </c>
      <c r="AZ46" s="10">
        <v>3.2679999999999998</v>
      </c>
      <c r="BA46" s="13">
        <v>0.33100000000000002</v>
      </c>
      <c r="BB46" s="13">
        <v>0</v>
      </c>
      <c r="BC46" s="13">
        <v>0</v>
      </c>
      <c r="BD46" s="13">
        <v>0.49099999999999999</v>
      </c>
      <c r="BE46" s="13">
        <v>1.3049999999999999</v>
      </c>
      <c r="BF46" s="13">
        <v>0</v>
      </c>
      <c r="BG46" s="13">
        <v>5.6529999999999996</v>
      </c>
      <c r="BH46" s="13">
        <v>2.347</v>
      </c>
      <c r="BI46" s="10">
        <v>4.1580000000000004</v>
      </c>
      <c r="BJ46" s="10">
        <v>0</v>
      </c>
      <c r="BK46" s="10">
        <v>0</v>
      </c>
      <c r="BL46" s="13">
        <v>12.153</v>
      </c>
      <c r="BM46" s="13">
        <v>12.481999999999999</v>
      </c>
      <c r="BN46" s="13">
        <v>13.172000000000001</v>
      </c>
      <c r="BO46" s="13">
        <v>0</v>
      </c>
      <c r="BP46" s="13">
        <v>6.0540000000000003</v>
      </c>
      <c r="BQ46" s="13">
        <v>0</v>
      </c>
      <c r="BR46" s="10">
        <v>0.441</v>
      </c>
      <c r="BS46" s="10">
        <v>1.1359999999999999</v>
      </c>
      <c r="BT46" s="10">
        <v>3.069</v>
      </c>
      <c r="BU46" s="10">
        <v>0</v>
      </c>
      <c r="BV46" s="10">
        <v>0</v>
      </c>
      <c r="BW46" s="10">
        <v>6.8620000000000001</v>
      </c>
      <c r="BX46" s="13">
        <v>0.32100000000000001</v>
      </c>
      <c r="BY46" s="13">
        <v>0</v>
      </c>
      <c r="BZ46" s="13">
        <v>0</v>
      </c>
      <c r="CA46" s="13">
        <v>5.4349999999999996</v>
      </c>
      <c r="CB46" s="13">
        <v>4.524</v>
      </c>
      <c r="CC46" s="13">
        <v>0</v>
      </c>
      <c r="CD46" s="13">
        <v>12.093</v>
      </c>
      <c r="CE46" s="13">
        <v>9.9499999999999993</v>
      </c>
      <c r="CF46" s="13">
        <v>23.326000000000001</v>
      </c>
      <c r="CG46" s="13">
        <v>9.5540000000000003</v>
      </c>
      <c r="CH46" s="13">
        <v>1.1930000000000001</v>
      </c>
      <c r="CI46" s="13">
        <v>2.794</v>
      </c>
      <c r="CJ46" s="13">
        <v>0</v>
      </c>
      <c r="CK46" s="13">
        <v>0</v>
      </c>
      <c r="CL46" s="13">
        <v>0</v>
      </c>
      <c r="CM46" s="13">
        <v>1.135</v>
      </c>
      <c r="CN46" s="13">
        <v>3.9140000000000001</v>
      </c>
      <c r="CO46" s="13">
        <v>12.33</v>
      </c>
      <c r="CP46" s="13">
        <v>6.149</v>
      </c>
      <c r="CQ46" s="13">
        <v>0</v>
      </c>
      <c r="CR46" s="13">
        <v>14.076000000000001</v>
      </c>
      <c r="CS46" s="10">
        <v>9.9860000000000007</v>
      </c>
      <c r="CT46" s="10">
        <v>2.2749999999999999</v>
      </c>
      <c r="CU46" s="10">
        <v>1.4450000000000001</v>
      </c>
      <c r="CV46" s="10">
        <v>0.20200000000000001</v>
      </c>
      <c r="CW46" s="10">
        <v>0</v>
      </c>
      <c r="CX46" s="10">
        <v>28.018000000000001</v>
      </c>
      <c r="CY46" s="10">
        <v>1.3560000000000001</v>
      </c>
      <c r="CZ46" s="10">
        <v>2.73</v>
      </c>
    </row>
    <row r="47" spans="2:104" x14ac:dyDescent="0.25">
      <c r="B47" s="5" t="s">
        <v>92</v>
      </c>
      <c r="C47" s="10">
        <v>61.066000000000003</v>
      </c>
      <c r="D47" s="10">
        <v>4.9000000000000004</v>
      </c>
      <c r="E47" s="10">
        <v>0.16700000000000001</v>
      </c>
      <c r="F47" s="10">
        <v>0</v>
      </c>
      <c r="G47" s="10">
        <v>0.57099999999999995</v>
      </c>
      <c r="H47" s="10">
        <v>21.498000000000001</v>
      </c>
      <c r="I47" s="10">
        <v>6.41</v>
      </c>
      <c r="J47" s="10">
        <v>9.8559999999999999</v>
      </c>
      <c r="K47" s="10">
        <v>56.368000000000002</v>
      </c>
      <c r="L47" s="10">
        <v>40.067</v>
      </c>
      <c r="M47" s="13">
        <v>5.9939999999999998</v>
      </c>
      <c r="N47" s="13">
        <v>0</v>
      </c>
      <c r="O47" s="13">
        <v>0.221</v>
      </c>
      <c r="P47" s="13">
        <v>0</v>
      </c>
      <c r="Q47" s="13">
        <v>0.57199999999999995</v>
      </c>
      <c r="R47" s="13">
        <v>4.9329999999999998</v>
      </c>
      <c r="S47" s="13">
        <v>0</v>
      </c>
      <c r="T47" s="13">
        <v>0</v>
      </c>
      <c r="U47" s="13">
        <v>1.9059999999999999</v>
      </c>
      <c r="V47" s="13">
        <v>0</v>
      </c>
      <c r="W47" s="13">
        <v>0.67500000000000004</v>
      </c>
      <c r="X47" s="13">
        <v>0</v>
      </c>
      <c r="Y47" s="13">
        <v>0</v>
      </c>
      <c r="Z47" s="13">
        <v>3.1960000000000002</v>
      </c>
      <c r="AA47" s="13">
        <v>12.727</v>
      </c>
      <c r="AB47" s="13">
        <v>3.6219999999999999</v>
      </c>
      <c r="AC47" s="13">
        <v>0</v>
      </c>
      <c r="AD47" s="13">
        <v>0</v>
      </c>
      <c r="AE47" s="13">
        <v>28.038</v>
      </c>
      <c r="AF47" s="13">
        <v>0</v>
      </c>
      <c r="AG47" s="13">
        <v>11.234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11.16</v>
      </c>
      <c r="AO47" s="13">
        <v>20.344999999999999</v>
      </c>
      <c r="AP47" s="13">
        <v>0</v>
      </c>
      <c r="AQ47" s="13">
        <v>0</v>
      </c>
      <c r="AR47" s="10">
        <v>36.79</v>
      </c>
      <c r="AS47" s="10">
        <v>16.581</v>
      </c>
      <c r="AT47" s="10">
        <v>16.382999999999999</v>
      </c>
      <c r="AU47" s="10">
        <v>11.185</v>
      </c>
      <c r="AV47" s="10">
        <v>0</v>
      </c>
      <c r="AW47" s="10">
        <v>8.0039999999999996</v>
      </c>
      <c r="AX47" s="10">
        <v>0.47199999999999998</v>
      </c>
      <c r="AY47" s="10">
        <v>0</v>
      </c>
      <c r="AZ47" s="10">
        <v>0</v>
      </c>
      <c r="BA47" s="13">
        <v>0</v>
      </c>
      <c r="BB47" s="13">
        <v>0.56000000000000005</v>
      </c>
      <c r="BC47" s="13">
        <v>0</v>
      </c>
      <c r="BD47" s="13">
        <v>1.474</v>
      </c>
      <c r="BE47" s="13">
        <v>0.65300000000000002</v>
      </c>
      <c r="BF47" s="13">
        <v>0</v>
      </c>
      <c r="BG47" s="13">
        <v>0</v>
      </c>
      <c r="BH47" s="13">
        <v>6.867</v>
      </c>
      <c r="BI47" s="10">
        <v>0</v>
      </c>
      <c r="BJ47" s="10">
        <v>0</v>
      </c>
      <c r="BK47" s="10">
        <v>1.5640000000000001</v>
      </c>
      <c r="BL47" s="13">
        <v>0</v>
      </c>
      <c r="BM47" s="13">
        <v>0</v>
      </c>
      <c r="BN47" s="13">
        <v>19.402000000000001</v>
      </c>
      <c r="BO47" s="13">
        <v>6.44</v>
      </c>
      <c r="BP47" s="13">
        <v>6.0540000000000003</v>
      </c>
      <c r="BQ47" s="13">
        <v>15.721</v>
      </c>
      <c r="BR47" s="10">
        <v>1.7649999999999999</v>
      </c>
      <c r="BS47" s="10">
        <v>3.9009999999999998</v>
      </c>
      <c r="BT47" s="10">
        <v>3.069</v>
      </c>
      <c r="BU47" s="10">
        <v>1.474</v>
      </c>
      <c r="BV47" s="10">
        <v>1.121</v>
      </c>
      <c r="BW47" s="10">
        <v>1.716</v>
      </c>
      <c r="BX47" s="13">
        <v>0.16</v>
      </c>
      <c r="BY47" s="13">
        <v>0.43</v>
      </c>
      <c r="BZ47" s="13">
        <v>0.20300000000000001</v>
      </c>
      <c r="CA47" s="13">
        <v>31.010999999999999</v>
      </c>
      <c r="CB47" s="13">
        <v>6.6609999999999996</v>
      </c>
      <c r="CC47" s="13">
        <v>0</v>
      </c>
      <c r="CD47" s="13">
        <v>10.805999999999999</v>
      </c>
      <c r="CE47" s="13">
        <v>6.3810000000000002</v>
      </c>
      <c r="CF47" s="13">
        <v>1.1080000000000001</v>
      </c>
      <c r="CG47" s="13">
        <v>0</v>
      </c>
      <c r="CH47" s="13">
        <v>6.1680000000000001</v>
      </c>
      <c r="CI47" s="13">
        <v>2.9670000000000001</v>
      </c>
      <c r="CJ47" s="13">
        <v>1.274</v>
      </c>
      <c r="CK47" s="13">
        <v>28.12</v>
      </c>
      <c r="CL47" s="13">
        <v>3.3769999999999998</v>
      </c>
      <c r="CM47" s="13">
        <v>15.272</v>
      </c>
      <c r="CN47" s="13">
        <v>0</v>
      </c>
      <c r="CO47" s="13">
        <v>0</v>
      </c>
      <c r="CP47" s="13">
        <v>0</v>
      </c>
      <c r="CQ47" s="13">
        <v>1.2290000000000001</v>
      </c>
      <c r="CR47" s="13">
        <v>10.888999999999999</v>
      </c>
      <c r="CS47" s="10">
        <v>19.971</v>
      </c>
      <c r="CT47" s="10">
        <v>3.2250000000000001</v>
      </c>
      <c r="CU47" s="10">
        <v>0</v>
      </c>
      <c r="CV47" s="10">
        <v>4.3999999999999997E-2</v>
      </c>
      <c r="CW47" s="10">
        <v>0</v>
      </c>
      <c r="CX47" s="10">
        <v>10.396000000000001</v>
      </c>
      <c r="CY47" s="10">
        <v>0.90400000000000003</v>
      </c>
      <c r="CZ47" s="10">
        <v>1.365</v>
      </c>
    </row>
    <row r="48" spans="2:104" x14ac:dyDescent="0.25">
      <c r="B48" s="5" t="s">
        <v>91</v>
      </c>
      <c r="C48" s="10">
        <v>16.966999999999999</v>
      </c>
      <c r="D48" s="10">
        <v>1.4179999999999999</v>
      </c>
      <c r="E48" s="10">
        <v>0.5</v>
      </c>
      <c r="F48" s="10">
        <v>11.756</v>
      </c>
      <c r="G48" s="10">
        <v>0</v>
      </c>
      <c r="H48" s="10">
        <v>10.749000000000001</v>
      </c>
      <c r="I48" s="10">
        <v>14.119</v>
      </c>
      <c r="J48" s="10">
        <v>0</v>
      </c>
      <c r="K48" s="10">
        <v>81.263999999999996</v>
      </c>
      <c r="L48" s="10">
        <v>23.913</v>
      </c>
      <c r="M48" s="13">
        <v>0</v>
      </c>
      <c r="N48" s="13">
        <v>0.63400000000000001</v>
      </c>
      <c r="O48" s="13">
        <v>0.441</v>
      </c>
      <c r="P48" s="13">
        <v>0</v>
      </c>
      <c r="Q48" s="13">
        <v>1.7170000000000001</v>
      </c>
      <c r="R48" s="13">
        <v>0</v>
      </c>
      <c r="S48" s="13">
        <v>0.85899999999999999</v>
      </c>
      <c r="T48" s="13">
        <v>3.133</v>
      </c>
      <c r="U48" s="13">
        <v>1.9059999999999999</v>
      </c>
      <c r="V48" s="13">
        <v>0</v>
      </c>
      <c r="W48" s="13">
        <v>0.88800000000000001</v>
      </c>
      <c r="X48" s="13">
        <v>0</v>
      </c>
      <c r="Y48" s="13">
        <v>0.55200000000000005</v>
      </c>
      <c r="Z48" s="13">
        <v>0</v>
      </c>
      <c r="AA48" s="13">
        <v>12.727</v>
      </c>
      <c r="AB48" s="13">
        <v>3.782</v>
      </c>
      <c r="AC48" s="13">
        <v>0</v>
      </c>
      <c r="AD48" s="13">
        <v>0</v>
      </c>
      <c r="AE48" s="13">
        <v>21.863</v>
      </c>
      <c r="AF48" s="13">
        <v>2.81</v>
      </c>
      <c r="AG48" s="13">
        <v>1.0680000000000001</v>
      </c>
      <c r="AH48" s="13">
        <v>1.7569999999999999</v>
      </c>
      <c r="AI48" s="13">
        <v>2.9489999999999998</v>
      </c>
      <c r="AJ48" s="13">
        <v>1.0289999999999999</v>
      </c>
      <c r="AK48" s="13">
        <v>0</v>
      </c>
      <c r="AL48" s="13">
        <v>0</v>
      </c>
      <c r="AM48" s="13">
        <v>0.48599999999999999</v>
      </c>
      <c r="AN48" s="13">
        <v>11.449</v>
      </c>
      <c r="AO48" s="13">
        <v>0</v>
      </c>
      <c r="AP48" s="13">
        <v>8.0139999999999993</v>
      </c>
      <c r="AQ48" s="13">
        <v>18.427</v>
      </c>
      <c r="AR48" s="10">
        <v>1.7270000000000001</v>
      </c>
      <c r="AS48" s="10">
        <v>30.521999999999998</v>
      </c>
      <c r="AT48" s="10">
        <v>6.8410000000000002</v>
      </c>
      <c r="AU48" s="10">
        <v>11.185</v>
      </c>
      <c r="AV48" s="10">
        <v>0</v>
      </c>
      <c r="AW48" s="10">
        <v>0</v>
      </c>
      <c r="AX48" s="10">
        <v>0</v>
      </c>
      <c r="AY48" s="10">
        <v>1.8759999999999999</v>
      </c>
      <c r="AZ48" s="10">
        <v>3.2679999999999998</v>
      </c>
      <c r="BA48" s="13">
        <v>0.50800000000000001</v>
      </c>
      <c r="BB48" s="13">
        <v>0</v>
      </c>
      <c r="BC48" s="13">
        <v>0.46700000000000003</v>
      </c>
      <c r="BD48" s="13">
        <v>0</v>
      </c>
      <c r="BE48" s="13">
        <v>0</v>
      </c>
      <c r="BF48" s="13">
        <v>0</v>
      </c>
      <c r="BG48" s="13">
        <v>1.9319999999999999</v>
      </c>
      <c r="BH48" s="13">
        <v>0</v>
      </c>
      <c r="BI48" s="10">
        <v>5.2670000000000003</v>
      </c>
      <c r="BJ48" s="10">
        <v>0</v>
      </c>
      <c r="BK48" s="10">
        <v>2.6219999999999999</v>
      </c>
      <c r="BL48" s="13">
        <v>12.153</v>
      </c>
      <c r="BM48" s="13">
        <v>5.8</v>
      </c>
      <c r="BN48" s="13">
        <v>0</v>
      </c>
      <c r="BO48" s="13">
        <v>0</v>
      </c>
      <c r="BP48" s="13">
        <v>10.943</v>
      </c>
      <c r="BQ48" s="13">
        <v>13.89</v>
      </c>
      <c r="BR48" s="10">
        <v>0</v>
      </c>
      <c r="BS48" s="10">
        <v>5.0369999999999999</v>
      </c>
      <c r="BT48" s="10">
        <v>0</v>
      </c>
      <c r="BU48" s="10">
        <v>0.73699999999999999</v>
      </c>
      <c r="BV48" s="10">
        <v>2.984</v>
      </c>
      <c r="BW48" s="10">
        <v>3</v>
      </c>
      <c r="BX48" s="13">
        <v>0.47899999999999998</v>
      </c>
      <c r="BY48" s="13">
        <v>0.4</v>
      </c>
      <c r="BZ48" s="13">
        <v>0</v>
      </c>
      <c r="CA48" s="13">
        <v>7.7530000000000001</v>
      </c>
      <c r="CB48" s="13">
        <v>4.524</v>
      </c>
      <c r="CC48" s="13">
        <v>0</v>
      </c>
      <c r="CD48" s="13">
        <v>0</v>
      </c>
      <c r="CE48" s="13">
        <v>0.34799999999999998</v>
      </c>
      <c r="CF48" s="13">
        <v>23.609000000000002</v>
      </c>
      <c r="CG48" s="13">
        <v>7.444</v>
      </c>
      <c r="CH48" s="13">
        <v>1.8680000000000001</v>
      </c>
      <c r="CI48" s="13">
        <v>0.998</v>
      </c>
      <c r="CJ48" s="13">
        <v>0</v>
      </c>
      <c r="CK48" s="13">
        <v>14.06</v>
      </c>
      <c r="CL48" s="13">
        <v>6.7530000000000001</v>
      </c>
      <c r="CM48" s="13">
        <v>0.106</v>
      </c>
      <c r="CN48" s="13">
        <v>3.9140000000000001</v>
      </c>
      <c r="CO48" s="13">
        <v>0</v>
      </c>
      <c r="CP48" s="13">
        <v>0</v>
      </c>
      <c r="CQ48" s="13">
        <v>0</v>
      </c>
      <c r="CR48" s="13">
        <v>0.52900000000000003</v>
      </c>
      <c r="CS48" s="10">
        <v>0</v>
      </c>
      <c r="CT48" s="10">
        <v>2.2749999999999999</v>
      </c>
      <c r="CU48" s="10">
        <v>12.603999999999999</v>
      </c>
      <c r="CV48" s="10">
        <v>1.5669999999999999</v>
      </c>
      <c r="CW48" s="10">
        <v>0</v>
      </c>
      <c r="CX48" s="10">
        <v>10.396000000000001</v>
      </c>
      <c r="CY48" s="10">
        <v>0</v>
      </c>
      <c r="CZ48" s="10">
        <v>0</v>
      </c>
    </row>
    <row r="49" spans="2:104" x14ac:dyDescent="0.25">
      <c r="B49" s="5" t="s">
        <v>90</v>
      </c>
      <c r="C49" s="10">
        <v>16.966999999999999</v>
      </c>
      <c r="D49" s="10">
        <v>3.8849999999999998</v>
      </c>
      <c r="E49" s="10">
        <v>0.5</v>
      </c>
      <c r="F49" s="10">
        <v>2.9390000000000001</v>
      </c>
      <c r="G49" s="10">
        <v>0</v>
      </c>
      <c r="H49" s="10">
        <v>28.881</v>
      </c>
      <c r="I49" s="10">
        <v>0.32500000000000001</v>
      </c>
      <c r="J49" s="10">
        <v>18.667000000000002</v>
      </c>
      <c r="K49" s="10">
        <v>0</v>
      </c>
      <c r="L49" s="10">
        <v>47.945</v>
      </c>
      <c r="M49" s="13">
        <v>0.63400000000000001</v>
      </c>
      <c r="N49" s="13">
        <v>2.5019999999999998</v>
      </c>
      <c r="O49" s="13">
        <v>0</v>
      </c>
      <c r="P49" s="13">
        <v>0</v>
      </c>
      <c r="Q49" s="13">
        <v>1.145</v>
      </c>
      <c r="R49" s="13">
        <v>4.9329999999999998</v>
      </c>
      <c r="S49" s="13">
        <v>1.5489999999999999</v>
      </c>
      <c r="T49" s="13">
        <v>1.5660000000000001</v>
      </c>
      <c r="U49" s="13">
        <v>1.9059999999999999</v>
      </c>
      <c r="V49" s="13">
        <v>1.534</v>
      </c>
      <c r="W49" s="13">
        <v>2.665</v>
      </c>
      <c r="X49" s="13">
        <v>0</v>
      </c>
      <c r="Y49" s="13">
        <v>0.32400000000000001</v>
      </c>
      <c r="Z49" s="13">
        <v>2.8780000000000001</v>
      </c>
      <c r="AA49" s="13">
        <v>0</v>
      </c>
      <c r="AB49" s="13">
        <v>12.536</v>
      </c>
      <c r="AC49" s="13">
        <v>0</v>
      </c>
      <c r="AD49" s="13">
        <v>0</v>
      </c>
      <c r="AE49" s="13">
        <v>7.2080000000000002</v>
      </c>
      <c r="AF49" s="13">
        <v>0</v>
      </c>
      <c r="AG49" s="13">
        <v>4.5490000000000004</v>
      </c>
      <c r="AH49" s="13">
        <v>0</v>
      </c>
      <c r="AI49" s="13">
        <v>9.1690000000000005</v>
      </c>
      <c r="AJ49" s="13">
        <v>3.0870000000000002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8.8849999999999998</v>
      </c>
      <c r="AQ49" s="13">
        <v>17.187000000000001</v>
      </c>
      <c r="AR49" s="10">
        <v>14.452999999999999</v>
      </c>
      <c r="AS49" s="10">
        <v>0</v>
      </c>
      <c r="AT49" s="10">
        <v>6.8410000000000002</v>
      </c>
      <c r="AU49" s="10">
        <v>11.185</v>
      </c>
      <c r="AV49" s="10">
        <v>1.9870000000000001</v>
      </c>
      <c r="AW49" s="10">
        <v>5.4790000000000001</v>
      </c>
      <c r="AX49" s="10">
        <v>7.9000000000000001E-2</v>
      </c>
      <c r="AY49" s="10">
        <v>3.7530000000000001</v>
      </c>
      <c r="AZ49" s="10">
        <v>7.3959999999999999</v>
      </c>
      <c r="BA49" s="13">
        <v>0</v>
      </c>
      <c r="BB49" s="13">
        <v>1.9950000000000001</v>
      </c>
      <c r="BC49" s="13">
        <v>8.5000000000000006E-2</v>
      </c>
      <c r="BD49" s="13">
        <v>0.33800000000000002</v>
      </c>
      <c r="BE49" s="13">
        <v>0</v>
      </c>
      <c r="BF49" s="13">
        <v>0</v>
      </c>
      <c r="BG49" s="13">
        <v>0</v>
      </c>
      <c r="BH49" s="13">
        <v>2.294</v>
      </c>
      <c r="BI49" s="10">
        <v>1.653</v>
      </c>
      <c r="BJ49" s="10">
        <v>0</v>
      </c>
      <c r="BK49" s="10">
        <v>4.51</v>
      </c>
      <c r="BL49" s="13">
        <v>0</v>
      </c>
      <c r="BM49" s="13">
        <v>5.8</v>
      </c>
      <c r="BN49" s="13">
        <v>30.337</v>
      </c>
      <c r="BO49" s="13">
        <v>18.611000000000001</v>
      </c>
      <c r="BP49" s="13">
        <v>6.944</v>
      </c>
      <c r="BQ49" s="13">
        <v>1.3680000000000001</v>
      </c>
      <c r="BR49" s="10">
        <v>1.0269999999999999</v>
      </c>
      <c r="BS49" s="10">
        <v>2.3530000000000002</v>
      </c>
      <c r="BT49" s="10">
        <v>1.1359999999999999</v>
      </c>
      <c r="BU49" s="10">
        <v>1.105</v>
      </c>
      <c r="BV49" s="10">
        <v>3.359</v>
      </c>
      <c r="BW49" s="10">
        <v>4.5</v>
      </c>
      <c r="BX49" s="13">
        <v>0.16</v>
      </c>
      <c r="BY49" s="13">
        <v>1.0229999999999999</v>
      </c>
      <c r="BZ49" s="13">
        <v>15.28</v>
      </c>
      <c r="CA49" s="13">
        <v>0</v>
      </c>
      <c r="CB49" s="13">
        <v>0</v>
      </c>
      <c r="CC49" s="13">
        <v>0</v>
      </c>
      <c r="CD49" s="13">
        <v>25.245999999999999</v>
      </c>
      <c r="CE49" s="13">
        <v>0</v>
      </c>
      <c r="CF49" s="13">
        <v>0</v>
      </c>
      <c r="CG49" s="13">
        <v>10.314</v>
      </c>
      <c r="CH49" s="13">
        <v>0</v>
      </c>
      <c r="CI49" s="13">
        <v>5.2869999999999999</v>
      </c>
      <c r="CJ49" s="13">
        <v>0.80800000000000005</v>
      </c>
      <c r="CK49" s="13">
        <v>22.129000000000001</v>
      </c>
      <c r="CL49" s="13">
        <v>6.7530000000000001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0">
        <v>0</v>
      </c>
      <c r="CT49" s="10">
        <v>6.8250000000000002</v>
      </c>
      <c r="CU49" s="10">
        <v>0</v>
      </c>
      <c r="CV49" s="10">
        <v>2.089</v>
      </c>
      <c r="CW49" s="10">
        <v>0</v>
      </c>
      <c r="CX49" s="10">
        <v>10.396000000000001</v>
      </c>
      <c r="CY49" s="10">
        <v>0</v>
      </c>
      <c r="CZ49" s="10">
        <v>0</v>
      </c>
    </row>
    <row r="50" spans="2:104" x14ac:dyDescent="0.25">
      <c r="B50" s="5" t="s">
        <v>89</v>
      </c>
      <c r="C50" s="10">
        <v>23.077000000000002</v>
      </c>
      <c r="D50" s="10">
        <v>0</v>
      </c>
      <c r="E50" s="10">
        <v>1.0089999999999999</v>
      </c>
      <c r="F50" s="10">
        <v>8.8170000000000002</v>
      </c>
      <c r="G50" s="10">
        <v>0</v>
      </c>
      <c r="H50" s="10">
        <v>0</v>
      </c>
      <c r="I50" s="10">
        <v>10.523999999999999</v>
      </c>
      <c r="J50" s="10">
        <v>9.5609999999999999</v>
      </c>
      <c r="K50" s="10">
        <v>0</v>
      </c>
      <c r="L50" s="10">
        <v>12.297000000000001</v>
      </c>
      <c r="M50" s="13">
        <v>2.5019999999999998</v>
      </c>
      <c r="N50" s="13">
        <v>1.2509999999999999</v>
      </c>
      <c r="O50" s="13">
        <v>0.59499999999999997</v>
      </c>
      <c r="P50" s="13">
        <v>0</v>
      </c>
      <c r="Q50" s="13">
        <v>0.69099999999999995</v>
      </c>
      <c r="R50" s="13">
        <v>1.6439999999999999</v>
      </c>
      <c r="S50" s="13">
        <v>0</v>
      </c>
      <c r="T50" s="13">
        <v>0.89500000000000002</v>
      </c>
      <c r="U50" s="13">
        <v>0</v>
      </c>
      <c r="V50" s="13">
        <v>0.89500000000000002</v>
      </c>
      <c r="W50" s="13">
        <v>1.776</v>
      </c>
      <c r="X50" s="13">
        <v>0</v>
      </c>
      <c r="Y50" s="13">
        <v>0.97199999999999998</v>
      </c>
      <c r="Z50" s="13">
        <v>0</v>
      </c>
      <c r="AA50" s="13">
        <v>6.3630000000000004</v>
      </c>
      <c r="AB50" s="13">
        <v>0.16700000000000001</v>
      </c>
      <c r="AC50" s="13">
        <v>0</v>
      </c>
      <c r="AD50" s="13">
        <v>0</v>
      </c>
      <c r="AE50" s="13">
        <v>22.460999999999999</v>
      </c>
      <c r="AF50" s="13">
        <v>0</v>
      </c>
      <c r="AG50" s="13">
        <v>0</v>
      </c>
      <c r="AH50" s="13">
        <v>0</v>
      </c>
      <c r="AI50" s="13">
        <v>4.5839999999999996</v>
      </c>
      <c r="AJ50" s="13">
        <v>2.181</v>
      </c>
      <c r="AK50" s="13">
        <v>0</v>
      </c>
      <c r="AL50" s="13">
        <v>0</v>
      </c>
      <c r="AM50" s="13">
        <v>0</v>
      </c>
      <c r="AN50" s="13">
        <v>2.2010000000000001</v>
      </c>
      <c r="AO50" s="13">
        <v>0</v>
      </c>
      <c r="AP50" s="13">
        <v>0</v>
      </c>
      <c r="AQ50" s="13">
        <v>7.4279999999999999</v>
      </c>
      <c r="AR50" s="10">
        <v>0</v>
      </c>
      <c r="AS50" s="10">
        <v>12.569000000000001</v>
      </c>
      <c r="AT50" s="10">
        <v>13.680999999999999</v>
      </c>
      <c r="AU50" s="10">
        <v>0</v>
      </c>
      <c r="AV50" s="10">
        <v>5.5140000000000002</v>
      </c>
      <c r="AW50" s="10">
        <v>2.7389999999999999</v>
      </c>
      <c r="AX50" s="10">
        <v>0.16800000000000001</v>
      </c>
      <c r="AY50" s="10">
        <v>0</v>
      </c>
      <c r="AZ50" s="10">
        <v>14.792999999999999</v>
      </c>
      <c r="BA50" s="13">
        <v>0.254</v>
      </c>
      <c r="BB50" s="13">
        <v>2.9929999999999999</v>
      </c>
      <c r="BC50" s="13">
        <v>2.2770000000000001</v>
      </c>
      <c r="BD50" s="13">
        <v>0</v>
      </c>
      <c r="BE50" s="13">
        <v>0</v>
      </c>
      <c r="BF50" s="13">
        <v>0</v>
      </c>
      <c r="BG50" s="13">
        <v>2.2200000000000002</v>
      </c>
      <c r="BH50" s="13">
        <v>3.2170000000000001</v>
      </c>
      <c r="BI50" s="10">
        <v>6.92</v>
      </c>
      <c r="BJ50" s="10">
        <v>2.512</v>
      </c>
      <c r="BK50" s="10">
        <v>0</v>
      </c>
      <c r="BL50" s="13">
        <v>0</v>
      </c>
      <c r="BM50" s="13">
        <v>0</v>
      </c>
      <c r="BN50" s="13">
        <v>14.587</v>
      </c>
      <c r="BO50" s="13">
        <v>0</v>
      </c>
      <c r="BP50" s="13">
        <v>0</v>
      </c>
      <c r="BQ50" s="13">
        <v>54.249000000000002</v>
      </c>
      <c r="BR50" s="10">
        <v>0.88300000000000001</v>
      </c>
      <c r="BS50" s="10">
        <v>1.177</v>
      </c>
      <c r="BT50" s="10">
        <v>1.1359999999999999</v>
      </c>
      <c r="BU50" s="10">
        <v>0</v>
      </c>
      <c r="BV50" s="10">
        <v>0</v>
      </c>
      <c r="BW50" s="10">
        <v>0</v>
      </c>
      <c r="BX50" s="13">
        <v>0.16</v>
      </c>
      <c r="BY50" s="13">
        <v>0.42</v>
      </c>
      <c r="BZ50" s="13">
        <v>0</v>
      </c>
      <c r="CA50" s="13">
        <v>6.3040000000000003</v>
      </c>
      <c r="CB50" s="13">
        <v>0</v>
      </c>
      <c r="CC50" s="13">
        <v>0</v>
      </c>
      <c r="CD50" s="13">
        <v>13.471</v>
      </c>
      <c r="CE50" s="13">
        <v>13.78</v>
      </c>
      <c r="CF50" s="13">
        <v>28.411000000000001</v>
      </c>
      <c r="CG50" s="13">
        <v>14.888999999999999</v>
      </c>
      <c r="CH50" s="13">
        <v>5.25</v>
      </c>
      <c r="CI50" s="13">
        <v>1.3220000000000001</v>
      </c>
      <c r="CJ50" s="13">
        <v>0</v>
      </c>
      <c r="CK50" s="13">
        <v>3.8650000000000002</v>
      </c>
      <c r="CL50" s="13">
        <v>6.1440000000000001</v>
      </c>
      <c r="CM50" s="13">
        <v>6.2320000000000002</v>
      </c>
      <c r="CN50" s="13">
        <v>0</v>
      </c>
      <c r="CO50" s="13">
        <v>0</v>
      </c>
      <c r="CP50" s="13">
        <v>0</v>
      </c>
      <c r="CQ50" s="13">
        <v>4.3899999999999997</v>
      </c>
      <c r="CR50" s="13">
        <v>0</v>
      </c>
      <c r="CS50" s="10">
        <v>24.021000000000001</v>
      </c>
      <c r="CT50" s="10">
        <v>0.95499999999999996</v>
      </c>
      <c r="CU50" s="10">
        <v>0</v>
      </c>
      <c r="CV50" s="10">
        <v>0</v>
      </c>
      <c r="CW50" s="10">
        <v>0</v>
      </c>
      <c r="CX50" s="10">
        <v>31.187999999999999</v>
      </c>
      <c r="CY50" s="10">
        <v>0</v>
      </c>
      <c r="CZ50" s="10">
        <v>0.39100000000000001</v>
      </c>
    </row>
    <row r="51" spans="2:104" x14ac:dyDescent="0.25">
      <c r="B51" s="5" t="s">
        <v>88</v>
      </c>
      <c r="C51" s="10">
        <v>0</v>
      </c>
      <c r="D51" s="10">
        <v>7.26</v>
      </c>
      <c r="E51" s="10">
        <v>0</v>
      </c>
      <c r="F51" s="10">
        <v>10.904</v>
      </c>
      <c r="G51" s="10">
        <v>0</v>
      </c>
      <c r="H51" s="10">
        <v>14.941000000000001</v>
      </c>
      <c r="I51" s="10">
        <v>21.047999999999998</v>
      </c>
      <c r="J51" s="10">
        <v>6.41</v>
      </c>
      <c r="K51" s="10">
        <v>27.225000000000001</v>
      </c>
      <c r="L51" s="10">
        <v>0</v>
      </c>
      <c r="M51" s="13">
        <v>1.2509999999999999</v>
      </c>
      <c r="N51" s="13">
        <v>3.2589999999999999</v>
      </c>
      <c r="O51" s="13">
        <v>1.19</v>
      </c>
      <c r="P51" s="13">
        <v>0.57799999999999996</v>
      </c>
      <c r="Q51" s="13">
        <v>0.57199999999999995</v>
      </c>
      <c r="R51" s="13">
        <v>0</v>
      </c>
      <c r="S51" s="13">
        <v>0.85899999999999999</v>
      </c>
      <c r="T51" s="13">
        <v>1.79</v>
      </c>
      <c r="U51" s="13">
        <v>3.8130000000000002</v>
      </c>
      <c r="V51" s="13">
        <v>1.577</v>
      </c>
      <c r="W51" s="13">
        <v>3.0449999999999999</v>
      </c>
      <c r="X51" s="13">
        <v>0</v>
      </c>
      <c r="Y51" s="13">
        <v>0.32400000000000001</v>
      </c>
      <c r="Z51" s="13">
        <v>0.57599999999999996</v>
      </c>
      <c r="AA51" s="13">
        <v>0</v>
      </c>
      <c r="AB51" s="13">
        <v>3.56</v>
      </c>
      <c r="AC51" s="13">
        <v>0</v>
      </c>
      <c r="AD51" s="13">
        <v>0</v>
      </c>
      <c r="AE51" s="13">
        <v>0</v>
      </c>
      <c r="AF51" s="13">
        <v>13.473000000000001</v>
      </c>
      <c r="AG51" s="13">
        <v>0</v>
      </c>
      <c r="AH51" s="13">
        <v>0.35099999999999998</v>
      </c>
      <c r="AI51" s="13">
        <v>10.249000000000001</v>
      </c>
      <c r="AJ51" s="13">
        <v>2.3250000000000002</v>
      </c>
      <c r="AK51" s="13">
        <v>5.3680000000000003</v>
      </c>
      <c r="AL51" s="13">
        <v>0</v>
      </c>
      <c r="AM51" s="13">
        <v>0.504</v>
      </c>
      <c r="AN51" s="13">
        <v>7.6050000000000004</v>
      </c>
      <c r="AO51" s="13">
        <v>0</v>
      </c>
      <c r="AP51" s="13">
        <v>16.259</v>
      </c>
      <c r="AQ51" s="13">
        <v>14.856</v>
      </c>
      <c r="AR51" s="10">
        <v>21.716999999999999</v>
      </c>
      <c r="AS51" s="10">
        <v>0.97699999999999998</v>
      </c>
      <c r="AT51" s="10">
        <v>3.42</v>
      </c>
      <c r="AU51" s="10">
        <v>4.6859999999999999</v>
      </c>
      <c r="AV51" s="10">
        <v>5.335</v>
      </c>
      <c r="AW51" s="10">
        <v>0</v>
      </c>
      <c r="AX51" s="10">
        <v>0.17799999999999999</v>
      </c>
      <c r="AY51" s="10">
        <v>1.8759999999999999</v>
      </c>
      <c r="AZ51" s="10">
        <v>3.698</v>
      </c>
      <c r="BA51" s="13">
        <v>1.66</v>
      </c>
      <c r="BB51" s="13">
        <v>0.998</v>
      </c>
      <c r="BC51" s="13">
        <v>3.722</v>
      </c>
      <c r="BD51" s="13">
        <v>0.33800000000000002</v>
      </c>
      <c r="BE51" s="13">
        <v>2.1629999999999998</v>
      </c>
      <c r="BF51" s="13">
        <v>0</v>
      </c>
      <c r="BG51" s="13">
        <v>0</v>
      </c>
      <c r="BH51" s="13">
        <v>3.1339999999999999</v>
      </c>
      <c r="BI51" s="10">
        <v>6.92</v>
      </c>
      <c r="BJ51" s="10">
        <v>0.85099999999999998</v>
      </c>
      <c r="BK51" s="10">
        <v>5.2009999999999996</v>
      </c>
      <c r="BL51" s="13">
        <v>0</v>
      </c>
      <c r="BM51" s="13">
        <v>4.5720000000000001</v>
      </c>
      <c r="BN51" s="13">
        <v>10.112</v>
      </c>
      <c r="BO51" s="13">
        <v>0</v>
      </c>
      <c r="BP51" s="13">
        <v>3.7549999999999999</v>
      </c>
      <c r="BQ51" s="13">
        <v>14.93</v>
      </c>
      <c r="BR51" s="10">
        <v>0.28899999999999998</v>
      </c>
      <c r="BS51" s="10">
        <v>2.3530000000000002</v>
      </c>
      <c r="BT51" s="10">
        <v>3.9009999999999998</v>
      </c>
      <c r="BU51" s="10">
        <v>0</v>
      </c>
      <c r="BV51" s="10">
        <v>3.73</v>
      </c>
      <c r="BW51" s="10">
        <v>6.78</v>
      </c>
      <c r="BX51" s="13">
        <v>0.16</v>
      </c>
      <c r="BY51" s="13">
        <v>0.34699999999999998</v>
      </c>
      <c r="BZ51" s="13">
        <v>0</v>
      </c>
      <c r="CA51" s="13">
        <v>14.082000000000001</v>
      </c>
      <c r="CB51" s="13">
        <v>0.71799999999999997</v>
      </c>
      <c r="CC51" s="13">
        <v>0</v>
      </c>
      <c r="CD51" s="13">
        <v>22.099</v>
      </c>
      <c r="CE51" s="13">
        <v>0.83599999999999997</v>
      </c>
      <c r="CF51" s="13">
        <v>18.806999999999999</v>
      </c>
      <c r="CG51" s="13">
        <v>15.832000000000001</v>
      </c>
      <c r="CH51" s="13">
        <v>5.25</v>
      </c>
      <c r="CI51" s="13">
        <v>0</v>
      </c>
      <c r="CJ51" s="13">
        <v>2.234</v>
      </c>
      <c r="CK51" s="13">
        <v>0</v>
      </c>
      <c r="CL51" s="13">
        <v>0</v>
      </c>
      <c r="CM51" s="13">
        <v>6.0780000000000003</v>
      </c>
      <c r="CN51" s="13">
        <v>0</v>
      </c>
      <c r="CO51" s="13">
        <v>0</v>
      </c>
      <c r="CP51" s="13">
        <v>4.149</v>
      </c>
      <c r="CQ51" s="13">
        <v>2.0920000000000001</v>
      </c>
      <c r="CR51" s="13">
        <v>0</v>
      </c>
      <c r="CS51" s="10">
        <v>17.451000000000001</v>
      </c>
      <c r="CT51" s="10">
        <v>1.4419999999999999</v>
      </c>
      <c r="CU51" s="10">
        <v>0</v>
      </c>
      <c r="CV51" s="10">
        <v>0</v>
      </c>
      <c r="CW51" s="10">
        <v>0</v>
      </c>
      <c r="CX51" s="10">
        <v>4.75</v>
      </c>
      <c r="CY51" s="10">
        <v>0</v>
      </c>
      <c r="CZ51" s="10">
        <v>0</v>
      </c>
    </row>
    <row r="52" spans="2:104" x14ac:dyDescent="0.25">
      <c r="B52" s="5" t="s">
        <v>87</v>
      </c>
      <c r="C52" s="10">
        <v>15.573</v>
      </c>
      <c r="D52" s="10">
        <v>3.8849999999999998</v>
      </c>
      <c r="E52" s="10">
        <v>1.0089999999999999</v>
      </c>
      <c r="F52" s="10">
        <v>5.452</v>
      </c>
      <c r="G52" s="10">
        <v>0</v>
      </c>
      <c r="H52" s="10">
        <v>0</v>
      </c>
      <c r="I52" s="10">
        <v>18.597000000000001</v>
      </c>
      <c r="J52" s="10">
        <v>14.119</v>
      </c>
      <c r="K52" s="10">
        <v>15.096</v>
      </c>
      <c r="L52" s="10">
        <v>57.838000000000001</v>
      </c>
      <c r="M52" s="13">
        <v>3.2589999999999999</v>
      </c>
      <c r="N52" s="13">
        <v>4.0739999999999998</v>
      </c>
      <c r="O52" s="13">
        <v>0</v>
      </c>
      <c r="P52" s="13">
        <v>0</v>
      </c>
      <c r="Q52" s="13">
        <v>4.6710000000000003</v>
      </c>
      <c r="R52" s="13">
        <v>0.92900000000000005</v>
      </c>
      <c r="S52" s="13">
        <v>0</v>
      </c>
      <c r="T52" s="13">
        <v>0.94399999999999995</v>
      </c>
      <c r="U52" s="13">
        <v>1.6479999999999999</v>
      </c>
      <c r="V52" s="13">
        <v>3.1539999999999999</v>
      </c>
      <c r="W52" s="13">
        <v>1.776</v>
      </c>
      <c r="X52" s="13">
        <v>0</v>
      </c>
      <c r="Y52" s="13">
        <v>0.32400000000000001</v>
      </c>
      <c r="Z52" s="13">
        <v>0.57599999999999996</v>
      </c>
      <c r="AA52" s="13">
        <v>0</v>
      </c>
      <c r="AB52" s="13">
        <v>14.897</v>
      </c>
      <c r="AC52" s="13">
        <v>0</v>
      </c>
      <c r="AD52" s="13">
        <v>0</v>
      </c>
      <c r="AE52" s="13">
        <v>16.28</v>
      </c>
      <c r="AF52" s="13">
        <v>13.11</v>
      </c>
      <c r="AG52" s="13">
        <v>0</v>
      </c>
      <c r="AH52" s="13">
        <v>0</v>
      </c>
      <c r="AI52" s="13">
        <v>2.1619999999999999</v>
      </c>
      <c r="AJ52" s="13">
        <v>3.605</v>
      </c>
      <c r="AK52" s="13">
        <v>0</v>
      </c>
      <c r="AL52" s="13">
        <v>5.3680000000000003</v>
      </c>
      <c r="AM52" s="13">
        <v>4.0030000000000001</v>
      </c>
      <c r="AN52" s="13">
        <v>0</v>
      </c>
      <c r="AO52" s="13">
        <v>0</v>
      </c>
      <c r="AP52" s="13">
        <v>9.0139999999999993</v>
      </c>
      <c r="AQ52" s="13">
        <v>20.613</v>
      </c>
      <c r="AR52" s="10">
        <v>6.0810000000000004</v>
      </c>
      <c r="AS52" s="10">
        <v>1.8340000000000001</v>
      </c>
      <c r="AT52" s="10">
        <v>6.8410000000000002</v>
      </c>
      <c r="AU52" s="10">
        <v>7.0289999999999999</v>
      </c>
      <c r="AV52" s="10">
        <v>0</v>
      </c>
      <c r="AW52" s="10">
        <v>2.7389999999999999</v>
      </c>
      <c r="AX52" s="10">
        <v>0.184</v>
      </c>
      <c r="AY52" s="10">
        <v>0</v>
      </c>
      <c r="AZ52" s="10">
        <v>7.3959999999999999</v>
      </c>
      <c r="BA52" s="13">
        <v>0</v>
      </c>
      <c r="BB52" s="13">
        <v>1.9950000000000001</v>
      </c>
      <c r="BC52" s="13">
        <v>1.4450000000000001</v>
      </c>
      <c r="BD52" s="13">
        <v>0.33800000000000002</v>
      </c>
      <c r="BE52" s="13">
        <v>1.081</v>
      </c>
      <c r="BF52" s="13">
        <v>0</v>
      </c>
      <c r="BG52" s="13">
        <v>2.3239999999999998</v>
      </c>
      <c r="BH52" s="13">
        <v>0</v>
      </c>
      <c r="BI52" s="10">
        <v>4.0229999999999997</v>
      </c>
      <c r="BJ52" s="10">
        <v>0</v>
      </c>
      <c r="BK52" s="10">
        <v>0</v>
      </c>
      <c r="BL52" s="13">
        <v>3.5329999999999999</v>
      </c>
      <c r="BM52" s="13">
        <v>0</v>
      </c>
      <c r="BN52" s="13">
        <v>15.263</v>
      </c>
      <c r="BO52" s="13">
        <v>8.2370000000000001</v>
      </c>
      <c r="BP52" s="13">
        <v>0</v>
      </c>
      <c r="BQ52" s="13">
        <v>13.561999999999999</v>
      </c>
      <c r="BR52" s="10">
        <v>1.1539999999999999</v>
      </c>
      <c r="BS52" s="10">
        <v>0.63400000000000001</v>
      </c>
      <c r="BT52" s="10">
        <v>5.0369999999999999</v>
      </c>
      <c r="BU52" s="10">
        <v>2.0270000000000001</v>
      </c>
      <c r="BV52" s="10">
        <v>0</v>
      </c>
      <c r="BW52" s="10">
        <v>3</v>
      </c>
      <c r="BX52" s="13">
        <v>0.66700000000000004</v>
      </c>
      <c r="BY52" s="13">
        <v>0.26200000000000001</v>
      </c>
      <c r="BZ52" s="13">
        <v>0</v>
      </c>
      <c r="CA52" s="13">
        <v>14.082000000000001</v>
      </c>
      <c r="CB52" s="13">
        <v>10.039</v>
      </c>
      <c r="CC52" s="13">
        <v>0</v>
      </c>
      <c r="CD52" s="13">
        <v>11.986000000000001</v>
      </c>
      <c r="CE52" s="13">
        <v>0.40500000000000003</v>
      </c>
      <c r="CF52" s="13">
        <v>11.974</v>
      </c>
      <c r="CG52" s="13">
        <v>6.82</v>
      </c>
      <c r="CH52" s="13">
        <v>0.71299999999999997</v>
      </c>
      <c r="CI52" s="13">
        <v>0.82199999999999995</v>
      </c>
      <c r="CJ52" s="13">
        <v>1.6639999999999999</v>
      </c>
      <c r="CK52" s="13">
        <v>0</v>
      </c>
      <c r="CL52" s="13">
        <v>9.3160000000000007</v>
      </c>
      <c r="CM52" s="13">
        <v>0</v>
      </c>
      <c r="CN52" s="13">
        <v>4.7830000000000004</v>
      </c>
      <c r="CO52" s="13">
        <v>0</v>
      </c>
      <c r="CP52" s="13">
        <v>0</v>
      </c>
      <c r="CQ52" s="13">
        <v>0</v>
      </c>
      <c r="CR52" s="13">
        <v>10.516999999999999</v>
      </c>
      <c r="CS52" s="10">
        <v>0</v>
      </c>
      <c r="CT52" s="10">
        <v>3.996</v>
      </c>
      <c r="CU52" s="10">
        <v>0</v>
      </c>
      <c r="CV52" s="10">
        <v>0</v>
      </c>
      <c r="CW52" s="10">
        <v>0</v>
      </c>
      <c r="CX52" s="10">
        <v>5.6520000000000001</v>
      </c>
      <c r="CY52" s="10">
        <v>0.89900000000000002</v>
      </c>
      <c r="CZ52" s="10">
        <v>0.78300000000000003</v>
      </c>
    </row>
    <row r="53" spans="2:104" x14ac:dyDescent="0.25">
      <c r="B53" s="5" t="s">
        <v>86</v>
      </c>
      <c r="C53" s="10">
        <v>43.881</v>
      </c>
      <c r="D53" s="10">
        <v>3.8849999999999998</v>
      </c>
      <c r="E53" s="10">
        <v>0.33600000000000002</v>
      </c>
      <c r="F53" s="10">
        <v>8.1780000000000008</v>
      </c>
      <c r="G53" s="10">
        <v>0</v>
      </c>
      <c r="H53" s="10">
        <v>29.375</v>
      </c>
      <c r="I53" s="10">
        <v>0.32500000000000001</v>
      </c>
      <c r="J53" s="10">
        <v>0.32500000000000001</v>
      </c>
      <c r="K53" s="10">
        <v>3.9079999999999999</v>
      </c>
      <c r="L53" s="10">
        <v>0</v>
      </c>
      <c r="M53" s="13">
        <v>4.0739999999999998</v>
      </c>
      <c r="N53" s="13">
        <v>3.2589999999999999</v>
      </c>
      <c r="O53" s="13">
        <v>0</v>
      </c>
      <c r="P53" s="13">
        <v>0.27</v>
      </c>
      <c r="Q53" s="13">
        <v>0.45900000000000002</v>
      </c>
      <c r="R53" s="13">
        <v>0</v>
      </c>
      <c r="S53" s="13">
        <v>0</v>
      </c>
      <c r="T53" s="13">
        <v>2.8330000000000002</v>
      </c>
      <c r="U53" s="13">
        <v>2.472</v>
      </c>
      <c r="V53" s="13">
        <v>3.1539999999999999</v>
      </c>
      <c r="W53" s="13">
        <v>1.393</v>
      </c>
      <c r="X53" s="13">
        <v>0.36499999999999999</v>
      </c>
      <c r="Y53" s="13">
        <v>0.32400000000000001</v>
      </c>
      <c r="Z53" s="13">
        <v>0</v>
      </c>
      <c r="AA53" s="13">
        <v>10.243</v>
      </c>
      <c r="AB53" s="13">
        <v>5.2729999999999997</v>
      </c>
      <c r="AC53" s="13">
        <v>0</v>
      </c>
      <c r="AD53" s="13">
        <v>4.9939999999999998</v>
      </c>
      <c r="AE53" s="13">
        <v>51.088999999999999</v>
      </c>
      <c r="AF53" s="13">
        <v>13.473000000000001</v>
      </c>
      <c r="AG53" s="13">
        <v>0</v>
      </c>
      <c r="AH53" s="13">
        <v>0.47199999999999998</v>
      </c>
      <c r="AI53" s="13">
        <v>9.1690000000000005</v>
      </c>
      <c r="AJ53" s="13">
        <v>7.2089999999999996</v>
      </c>
      <c r="AK53" s="13">
        <v>6.4349999999999996</v>
      </c>
      <c r="AL53" s="13">
        <v>0</v>
      </c>
      <c r="AM53" s="13">
        <v>4.8230000000000004</v>
      </c>
      <c r="AN53" s="13">
        <v>0</v>
      </c>
      <c r="AO53" s="13">
        <v>0</v>
      </c>
      <c r="AP53" s="13">
        <v>0</v>
      </c>
      <c r="AQ53" s="13">
        <v>13.742000000000001</v>
      </c>
      <c r="AR53" s="10">
        <v>12.032999999999999</v>
      </c>
      <c r="AS53" s="10">
        <v>26.297999999999998</v>
      </c>
      <c r="AT53" s="10">
        <v>8.51</v>
      </c>
      <c r="AU53" s="10">
        <v>2.343</v>
      </c>
      <c r="AV53" s="10">
        <v>3.0489999999999999</v>
      </c>
      <c r="AW53" s="10">
        <v>0</v>
      </c>
      <c r="AX53" s="10">
        <v>0</v>
      </c>
      <c r="AY53" s="10">
        <v>3.306</v>
      </c>
      <c r="AZ53" s="10">
        <v>7.3959999999999999</v>
      </c>
      <c r="BA53" s="13">
        <v>0.999</v>
      </c>
      <c r="BB53" s="13">
        <v>1.9950000000000001</v>
      </c>
      <c r="BC53" s="13">
        <v>3.0569999999999999</v>
      </c>
      <c r="BD53" s="13">
        <v>0</v>
      </c>
      <c r="BE53" s="13">
        <v>2.0840000000000001</v>
      </c>
      <c r="BF53" s="13">
        <v>2.4540000000000002</v>
      </c>
      <c r="BG53" s="13">
        <v>1.74</v>
      </c>
      <c r="BH53" s="13">
        <v>0.69099999999999995</v>
      </c>
      <c r="BI53" s="10">
        <v>4.0229999999999997</v>
      </c>
      <c r="BJ53" s="10">
        <v>0</v>
      </c>
      <c r="BK53" s="10">
        <v>0</v>
      </c>
      <c r="BL53" s="13">
        <v>0</v>
      </c>
      <c r="BM53" s="13">
        <v>1.171</v>
      </c>
      <c r="BN53" s="13">
        <v>8.8480000000000008</v>
      </c>
      <c r="BO53" s="13">
        <v>0</v>
      </c>
      <c r="BP53" s="13">
        <v>0</v>
      </c>
      <c r="BQ53" s="13">
        <v>13.561999999999999</v>
      </c>
      <c r="BR53" s="10">
        <v>1.2629999999999999</v>
      </c>
      <c r="BS53" s="10">
        <v>4.0730000000000004</v>
      </c>
      <c r="BT53" s="10">
        <v>2.3530000000000002</v>
      </c>
      <c r="BU53" s="10">
        <v>0</v>
      </c>
      <c r="BV53" s="10">
        <v>0</v>
      </c>
      <c r="BW53" s="10">
        <v>0</v>
      </c>
      <c r="BX53" s="13">
        <v>0.16</v>
      </c>
      <c r="BY53" s="13">
        <v>0.40500000000000003</v>
      </c>
      <c r="BZ53" s="13">
        <v>0</v>
      </c>
      <c r="CA53" s="13">
        <v>4.694</v>
      </c>
      <c r="CB53" s="13">
        <v>0</v>
      </c>
      <c r="CC53" s="13">
        <v>0</v>
      </c>
      <c r="CD53" s="13">
        <v>0</v>
      </c>
      <c r="CE53" s="13">
        <v>16.277999999999999</v>
      </c>
      <c r="CF53" s="13">
        <v>13.079000000000001</v>
      </c>
      <c r="CG53" s="13">
        <v>0</v>
      </c>
      <c r="CH53" s="13">
        <v>1.75</v>
      </c>
      <c r="CI53" s="13">
        <v>2.4649999999999999</v>
      </c>
      <c r="CJ53" s="13">
        <v>4.4240000000000004</v>
      </c>
      <c r="CK53" s="13">
        <v>41.457999999999998</v>
      </c>
      <c r="CL53" s="13">
        <v>0</v>
      </c>
      <c r="CM53" s="13">
        <v>1.137</v>
      </c>
      <c r="CN53" s="13">
        <v>3.4950000000000001</v>
      </c>
      <c r="CO53" s="13">
        <v>0</v>
      </c>
      <c r="CP53" s="13">
        <v>0</v>
      </c>
      <c r="CQ53" s="13">
        <v>2.5910000000000002</v>
      </c>
      <c r="CR53" s="13">
        <v>10.516999999999999</v>
      </c>
      <c r="CS53" s="10">
        <v>0.87</v>
      </c>
      <c r="CT53" s="10">
        <v>0</v>
      </c>
      <c r="CU53" s="10">
        <v>0</v>
      </c>
      <c r="CV53" s="10">
        <v>0</v>
      </c>
      <c r="CW53" s="10">
        <v>9.8450000000000006</v>
      </c>
      <c r="CX53" s="10">
        <v>23.748000000000001</v>
      </c>
      <c r="CY53" s="10">
        <v>0.89900000000000002</v>
      </c>
      <c r="CZ53" s="10">
        <v>0.39100000000000001</v>
      </c>
    </row>
    <row r="54" spans="2:104" x14ac:dyDescent="0.25">
      <c r="B54" s="5" t="s">
        <v>85</v>
      </c>
      <c r="C54" s="10">
        <v>14.73</v>
      </c>
      <c r="D54" s="10">
        <v>2.2519999999999998</v>
      </c>
      <c r="E54" s="10">
        <v>1.3460000000000001</v>
      </c>
      <c r="F54" s="10">
        <v>0</v>
      </c>
      <c r="G54" s="10">
        <v>0</v>
      </c>
      <c r="H54" s="10">
        <v>3.3370000000000002</v>
      </c>
      <c r="I54" s="10">
        <v>14.601000000000001</v>
      </c>
      <c r="J54" s="10">
        <v>10.523999999999999</v>
      </c>
      <c r="K54" s="10">
        <v>15.096</v>
      </c>
      <c r="L54" s="10">
        <v>0</v>
      </c>
      <c r="M54" s="13">
        <v>3.2589999999999999</v>
      </c>
      <c r="N54" s="13">
        <v>0.16400000000000001</v>
      </c>
      <c r="O54" s="13">
        <v>1.129</v>
      </c>
      <c r="P54" s="13">
        <v>0</v>
      </c>
      <c r="Q54" s="13">
        <v>3.5030000000000001</v>
      </c>
      <c r="R54" s="13">
        <v>0.46400000000000002</v>
      </c>
      <c r="S54" s="13">
        <v>0.70899999999999996</v>
      </c>
      <c r="T54" s="13">
        <v>0</v>
      </c>
      <c r="U54" s="13">
        <v>0.20399999999999999</v>
      </c>
      <c r="V54" s="13">
        <v>3.1539999999999999</v>
      </c>
      <c r="W54" s="13">
        <v>1.393</v>
      </c>
      <c r="X54" s="13">
        <v>0</v>
      </c>
      <c r="Y54" s="13">
        <v>0.63200000000000001</v>
      </c>
      <c r="Z54" s="13">
        <v>0</v>
      </c>
      <c r="AA54" s="13">
        <v>5.1219999999999999</v>
      </c>
      <c r="AB54" s="13">
        <v>0</v>
      </c>
      <c r="AC54" s="13">
        <v>0</v>
      </c>
      <c r="AD54" s="13">
        <v>0</v>
      </c>
      <c r="AE54" s="13">
        <v>22.568999999999999</v>
      </c>
      <c r="AF54" s="13">
        <v>0</v>
      </c>
      <c r="AG54" s="13">
        <v>0</v>
      </c>
      <c r="AH54" s="13">
        <v>0.47199999999999998</v>
      </c>
      <c r="AI54" s="13">
        <v>8.07</v>
      </c>
      <c r="AJ54" s="13">
        <v>3.605</v>
      </c>
      <c r="AK54" s="13">
        <v>0</v>
      </c>
      <c r="AL54" s="13">
        <v>6.4349999999999996</v>
      </c>
      <c r="AM54" s="13">
        <v>2.931</v>
      </c>
      <c r="AN54" s="13">
        <v>1.748</v>
      </c>
      <c r="AO54" s="13">
        <v>16.204000000000001</v>
      </c>
      <c r="AP54" s="13">
        <v>17.161999999999999</v>
      </c>
      <c r="AQ54" s="13">
        <v>0</v>
      </c>
      <c r="AR54" s="10">
        <v>12.077</v>
      </c>
      <c r="AS54" s="10">
        <v>2.6320000000000001</v>
      </c>
      <c r="AT54" s="10">
        <v>8.51</v>
      </c>
      <c r="AU54" s="10">
        <v>0</v>
      </c>
      <c r="AV54" s="10">
        <v>1.423</v>
      </c>
      <c r="AW54" s="10">
        <v>4.3079999999999998</v>
      </c>
      <c r="AX54" s="10">
        <v>0</v>
      </c>
      <c r="AY54" s="10">
        <v>1.653</v>
      </c>
      <c r="AZ54" s="10">
        <v>10.114000000000001</v>
      </c>
      <c r="BA54" s="13">
        <v>0</v>
      </c>
      <c r="BB54" s="13">
        <v>1.08</v>
      </c>
      <c r="BC54" s="13">
        <v>2.891</v>
      </c>
      <c r="BD54" s="13">
        <v>0</v>
      </c>
      <c r="BE54" s="13">
        <v>0</v>
      </c>
      <c r="BF54" s="13">
        <v>9.8160000000000007</v>
      </c>
      <c r="BG54" s="13">
        <v>1.74</v>
      </c>
      <c r="BH54" s="13">
        <v>1.66</v>
      </c>
      <c r="BI54" s="10">
        <v>3.6890000000000001</v>
      </c>
      <c r="BJ54" s="10">
        <v>0</v>
      </c>
      <c r="BK54" s="10">
        <v>0</v>
      </c>
      <c r="BL54" s="13">
        <v>6.0460000000000003</v>
      </c>
      <c r="BM54" s="13">
        <v>11.282999999999999</v>
      </c>
      <c r="BN54" s="13">
        <v>0</v>
      </c>
      <c r="BO54" s="13">
        <v>12.013999999999999</v>
      </c>
      <c r="BP54" s="13">
        <v>10.09</v>
      </c>
      <c r="BQ54" s="13">
        <v>17.518999999999998</v>
      </c>
      <c r="BR54" s="10">
        <v>0.51400000000000001</v>
      </c>
      <c r="BS54" s="10">
        <v>0</v>
      </c>
      <c r="BT54" s="10">
        <v>1.177</v>
      </c>
      <c r="BU54" s="10">
        <v>1.0129999999999999</v>
      </c>
      <c r="BV54" s="10">
        <v>0</v>
      </c>
      <c r="BW54" s="10">
        <v>7.33</v>
      </c>
      <c r="BX54" s="13">
        <v>0.189</v>
      </c>
      <c r="BY54" s="13">
        <v>0.61599999999999999</v>
      </c>
      <c r="BZ54" s="13">
        <v>3.3439999999999999</v>
      </c>
      <c r="CA54" s="13">
        <v>8.6300000000000008</v>
      </c>
      <c r="CB54" s="13">
        <v>0</v>
      </c>
      <c r="CC54" s="13">
        <v>28.238</v>
      </c>
      <c r="CD54" s="13">
        <v>9.1270000000000007</v>
      </c>
      <c r="CE54" s="13">
        <v>1.528</v>
      </c>
      <c r="CF54" s="13">
        <v>13.192</v>
      </c>
      <c r="CG54" s="13">
        <v>0</v>
      </c>
      <c r="CH54" s="13">
        <v>4.7880000000000003</v>
      </c>
      <c r="CI54" s="13">
        <v>2.4649999999999999</v>
      </c>
      <c r="CJ54" s="13">
        <v>0.36799999999999999</v>
      </c>
      <c r="CK54" s="13">
        <v>15.106999999999999</v>
      </c>
      <c r="CL54" s="13">
        <v>0</v>
      </c>
      <c r="CM54" s="13">
        <v>1.9710000000000001</v>
      </c>
      <c r="CN54" s="13">
        <v>2.8530000000000002</v>
      </c>
      <c r="CO54" s="13">
        <v>4.1509999999999998</v>
      </c>
      <c r="CP54" s="13">
        <v>4.149</v>
      </c>
      <c r="CQ54" s="13">
        <v>2.4140000000000001</v>
      </c>
      <c r="CR54" s="13">
        <v>12.997999999999999</v>
      </c>
      <c r="CS54" s="10">
        <v>0</v>
      </c>
      <c r="CT54" s="10">
        <v>2.7970000000000002</v>
      </c>
      <c r="CU54" s="10">
        <v>0</v>
      </c>
      <c r="CV54" s="10">
        <v>0</v>
      </c>
      <c r="CW54" s="10">
        <v>15.351000000000001</v>
      </c>
      <c r="CX54" s="10">
        <v>0</v>
      </c>
      <c r="CY54" s="10">
        <v>1.798</v>
      </c>
      <c r="CZ54" s="10">
        <v>0</v>
      </c>
    </row>
    <row r="55" spans="2:104" x14ac:dyDescent="0.25">
      <c r="B55" s="5" t="s">
        <v>84</v>
      </c>
      <c r="C55" s="10">
        <v>0</v>
      </c>
      <c r="D55" s="10">
        <v>0</v>
      </c>
      <c r="E55" s="10">
        <v>0.81699999999999995</v>
      </c>
      <c r="F55" s="10">
        <v>8.1780000000000008</v>
      </c>
      <c r="G55" s="10">
        <v>0</v>
      </c>
      <c r="H55" s="10">
        <v>0</v>
      </c>
      <c r="I55" s="10">
        <v>0</v>
      </c>
      <c r="J55" s="10">
        <v>21.047999999999998</v>
      </c>
      <c r="K55" s="10">
        <v>30.192</v>
      </c>
      <c r="L55" s="10">
        <v>19.606999999999999</v>
      </c>
      <c r="M55" s="13">
        <v>0.16400000000000001</v>
      </c>
      <c r="N55" s="13">
        <v>2.81</v>
      </c>
      <c r="O55" s="13">
        <v>0.161</v>
      </c>
      <c r="P55" s="13">
        <v>0.13500000000000001</v>
      </c>
      <c r="Q55" s="13">
        <v>2.3359999999999999</v>
      </c>
      <c r="R55" s="13">
        <v>0.46400000000000002</v>
      </c>
      <c r="S55" s="13">
        <v>0</v>
      </c>
      <c r="T55" s="13">
        <v>2.1589999999999998</v>
      </c>
      <c r="U55" s="13">
        <v>1.6479999999999999</v>
      </c>
      <c r="V55" s="13">
        <v>0</v>
      </c>
      <c r="W55" s="13">
        <v>1.393</v>
      </c>
      <c r="X55" s="13">
        <v>0</v>
      </c>
      <c r="Y55" s="13">
        <v>0</v>
      </c>
      <c r="Z55" s="13">
        <v>0</v>
      </c>
      <c r="AA55" s="13">
        <v>0</v>
      </c>
      <c r="AB55" s="13">
        <v>7.0069999999999997</v>
      </c>
      <c r="AC55" s="13">
        <v>0.42799999999999999</v>
      </c>
      <c r="AD55" s="13">
        <v>0</v>
      </c>
      <c r="AE55" s="13">
        <v>0</v>
      </c>
      <c r="AF55" s="13">
        <v>1.05</v>
      </c>
      <c r="AG55" s="13">
        <v>19.672000000000001</v>
      </c>
      <c r="AH55" s="13">
        <v>0</v>
      </c>
      <c r="AI55" s="13">
        <v>4.58</v>
      </c>
      <c r="AJ55" s="13">
        <v>7.2089999999999996</v>
      </c>
      <c r="AK55" s="13">
        <v>0.29299999999999998</v>
      </c>
      <c r="AL55" s="13">
        <v>0</v>
      </c>
      <c r="AM55" s="13">
        <v>3.9</v>
      </c>
      <c r="AN55" s="13">
        <v>8.8919999999999995</v>
      </c>
      <c r="AO55" s="13">
        <v>14.287000000000001</v>
      </c>
      <c r="AP55" s="13">
        <v>23.620999999999999</v>
      </c>
      <c r="AQ55" s="13">
        <v>6.8710000000000004</v>
      </c>
      <c r="AR55" s="10">
        <v>6.2249999999999996</v>
      </c>
      <c r="AS55" s="10">
        <v>29.059000000000001</v>
      </c>
      <c r="AT55" s="10">
        <v>8.51</v>
      </c>
      <c r="AU55" s="10">
        <v>8.1479999999999997</v>
      </c>
      <c r="AV55" s="10">
        <v>2.0680000000000001</v>
      </c>
      <c r="AW55" s="10">
        <v>0</v>
      </c>
      <c r="AX55" s="10">
        <v>0.13500000000000001</v>
      </c>
      <c r="AY55" s="10">
        <v>0</v>
      </c>
      <c r="AZ55" s="10">
        <v>2.2189999999999999</v>
      </c>
      <c r="BA55" s="13">
        <v>0.5</v>
      </c>
      <c r="BB55" s="13">
        <v>0</v>
      </c>
      <c r="BC55" s="13">
        <v>0.9</v>
      </c>
      <c r="BD55" s="13">
        <v>0</v>
      </c>
      <c r="BE55" s="13">
        <v>1.042</v>
      </c>
      <c r="BF55" s="13">
        <v>0</v>
      </c>
      <c r="BG55" s="13">
        <v>6.9610000000000003</v>
      </c>
      <c r="BH55" s="13">
        <v>2.2149999999999999</v>
      </c>
      <c r="BI55" s="10">
        <v>0</v>
      </c>
      <c r="BJ55" s="10">
        <v>5.0860000000000003</v>
      </c>
      <c r="BK55" s="10">
        <v>0</v>
      </c>
      <c r="BL55" s="13">
        <v>6.5279999999999996</v>
      </c>
      <c r="BM55" s="13">
        <v>18.893000000000001</v>
      </c>
      <c r="BN55" s="13">
        <v>2.7509999999999999</v>
      </c>
      <c r="BO55" s="13">
        <v>10.615</v>
      </c>
      <c r="BP55" s="13">
        <v>0</v>
      </c>
      <c r="BQ55" s="13">
        <v>0</v>
      </c>
      <c r="BR55" s="10">
        <v>1.1539999999999999</v>
      </c>
      <c r="BS55" s="10">
        <v>0</v>
      </c>
      <c r="BT55" s="10">
        <v>2.3530000000000002</v>
      </c>
      <c r="BU55" s="10">
        <v>0</v>
      </c>
      <c r="BV55" s="10">
        <v>0.47199999999999998</v>
      </c>
      <c r="BW55" s="10">
        <v>6.2960000000000003</v>
      </c>
      <c r="BX55" s="13">
        <v>0.189</v>
      </c>
      <c r="BY55" s="13">
        <v>0</v>
      </c>
      <c r="BZ55" s="13">
        <v>0</v>
      </c>
      <c r="CA55" s="13">
        <v>15.077</v>
      </c>
      <c r="CB55" s="13">
        <v>0</v>
      </c>
      <c r="CC55" s="13">
        <v>0</v>
      </c>
      <c r="CD55" s="13">
        <v>20.234000000000002</v>
      </c>
      <c r="CE55" s="13">
        <v>0</v>
      </c>
      <c r="CF55" s="13">
        <v>0.50700000000000001</v>
      </c>
      <c r="CG55" s="13">
        <v>0</v>
      </c>
      <c r="CH55" s="13">
        <v>3.1779999999999999</v>
      </c>
      <c r="CI55" s="13">
        <v>0.82199999999999995</v>
      </c>
      <c r="CJ55" s="13">
        <v>0</v>
      </c>
      <c r="CK55" s="13">
        <v>30.215</v>
      </c>
      <c r="CL55" s="13">
        <v>3.984</v>
      </c>
      <c r="CM55" s="13">
        <v>2.9209999999999998</v>
      </c>
      <c r="CN55" s="13">
        <v>1.427</v>
      </c>
      <c r="CO55" s="13">
        <v>0</v>
      </c>
      <c r="CP55" s="13">
        <v>0</v>
      </c>
      <c r="CQ55" s="13">
        <v>6.1710000000000003</v>
      </c>
      <c r="CR55" s="13">
        <v>26.547999999999998</v>
      </c>
      <c r="CS55" s="10">
        <v>0</v>
      </c>
      <c r="CT55" s="10">
        <v>0.56100000000000005</v>
      </c>
      <c r="CU55" s="10">
        <v>0.53400000000000003</v>
      </c>
      <c r="CV55" s="10">
        <v>0.152</v>
      </c>
      <c r="CW55" s="10">
        <v>29.91</v>
      </c>
      <c r="CX55" s="10">
        <v>15.151</v>
      </c>
      <c r="CY55" s="10">
        <v>2.698</v>
      </c>
      <c r="CZ55" s="10">
        <v>1.0329999999999999</v>
      </c>
    </row>
    <row r="56" spans="2:104" x14ac:dyDescent="0.25">
      <c r="B56" s="5" t="s">
        <v>83</v>
      </c>
      <c r="C56" s="10">
        <v>0</v>
      </c>
      <c r="D56" s="10">
        <v>0.63800000000000001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18.597000000000001</v>
      </c>
      <c r="K56" s="10">
        <v>15.096</v>
      </c>
      <c r="L56" s="10">
        <v>0</v>
      </c>
      <c r="M56" s="13">
        <v>2.81</v>
      </c>
      <c r="N56" s="13">
        <v>0.72</v>
      </c>
      <c r="O56" s="13">
        <v>0</v>
      </c>
      <c r="P56" s="13">
        <v>0.40600000000000003</v>
      </c>
      <c r="Q56" s="13">
        <v>2.3359999999999999</v>
      </c>
      <c r="R56" s="13">
        <v>1.302</v>
      </c>
      <c r="S56" s="13">
        <v>0.70899999999999996</v>
      </c>
      <c r="T56" s="13">
        <v>2.1589999999999998</v>
      </c>
      <c r="U56" s="13">
        <v>3.2959999999999998</v>
      </c>
      <c r="V56" s="13">
        <v>3.5840000000000001</v>
      </c>
      <c r="W56" s="13">
        <v>1.393</v>
      </c>
      <c r="X56" s="13">
        <v>0</v>
      </c>
      <c r="Y56" s="13">
        <v>0.63200000000000001</v>
      </c>
      <c r="Z56" s="13">
        <v>2.9359999999999999</v>
      </c>
      <c r="AA56" s="13">
        <v>0</v>
      </c>
      <c r="AB56" s="13">
        <v>8.4550000000000001</v>
      </c>
      <c r="AC56" s="13">
        <v>5.1999999999999998E-2</v>
      </c>
      <c r="AD56" s="13">
        <v>0</v>
      </c>
      <c r="AE56" s="13">
        <v>9.9149999999999991</v>
      </c>
      <c r="AF56" s="13">
        <v>3.54</v>
      </c>
      <c r="AG56" s="13">
        <v>10.458</v>
      </c>
      <c r="AH56" s="13">
        <v>1.417</v>
      </c>
      <c r="AI56" s="13">
        <v>4.0350000000000001</v>
      </c>
      <c r="AJ56" s="13">
        <v>0</v>
      </c>
      <c r="AK56" s="13">
        <v>1.8049999999999999</v>
      </c>
      <c r="AL56" s="13">
        <v>0.29299999999999998</v>
      </c>
      <c r="AM56" s="13">
        <v>3.3069999999999999</v>
      </c>
      <c r="AN56" s="13">
        <v>2.4580000000000002</v>
      </c>
      <c r="AO56" s="13">
        <v>12.641999999999999</v>
      </c>
      <c r="AP56" s="13">
        <v>5.9050000000000002</v>
      </c>
      <c r="AQ56" s="13">
        <v>12.731999999999999</v>
      </c>
      <c r="AR56" s="10">
        <v>2.8860000000000001</v>
      </c>
      <c r="AS56" s="10">
        <v>10.225</v>
      </c>
      <c r="AT56" s="10">
        <v>8.51</v>
      </c>
      <c r="AU56" s="10">
        <v>12.222</v>
      </c>
      <c r="AV56" s="10">
        <v>1.665</v>
      </c>
      <c r="AW56" s="10">
        <v>0</v>
      </c>
      <c r="AX56" s="10">
        <v>0.121</v>
      </c>
      <c r="AY56" s="10">
        <v>1.653</v>
      </c>
      <c r="AZ56" s="10">
        <v>0</v>
      </c>
      <c r="BA56" s="13">
        <v>1.2050000000000001</v>
      </c>
      <c r="BB56" s="13">
        <v>1.08</v>
      </c>
      <c r="BC56" s="13">
        <v>0</v>
      </c>
      <c r="BD56" s="13">
        <v>0.27600000000000002</v>
      </c>
      <c r="BE56" s="13">
        <v>0</v>
      </c>
      <c r="BF56" s="13">
        <v>0</v>
      </c>
      <c r="BG56" s="13">
        <v>0</v>
      </c>
      <c r="BH56" s="13">
        <v>0.53</v>
      </c>
      <c r="BI56" s="10">
        <v>2.3929999999999998</v>
      </c>
      <c r="BJ56" s="10">
        <v>0</v>
      </c>
      <c r="BK56" s="10">
        <v>0</v>
      </c>
      <c r="BL56" s="13">
        <v>24.08</v>
      </c>
      <c r="BM56" s="13">
        <v>1.589</v>
      </c>
      <c r="BN56" s="13">
        <v>13.247999999999999</v>
      </c>
      <c r="BO56" s="13">
        <v>0</v>
      </c>
      <c r="BP56" s="13">
        <v>0</v>
      </c>
      <c r="BQ56" s="13">
        <v>21.707999999999998</v>
      </c>
      <c r="BR56" s="10">
        <v>0.85</v>
      </c>
      <c r="BS56" s="10">
        <v>2.1669999999999998</v>
      </c>
      <c r="BT56" s="10">
        <v>0.63400000000000001</v>
      </c>
      <c r="BU56" s="10">
        <v>3.34</v>
      </c>
      <c r="BV56" s="10">
        <v>0</v>
      </c>
      <c r="BW56" s="10">
        <v>1.833</v>
      </c>
      <c r="BX56" s="13">
        <v>0</v>
      </c>
      <c r="BY56" s="13">
        <v>9.0999999999999998E-2</v>
      </c>
      <c r="BZ56" s="13">
        <v>0</v>
      </c>
      <c r="CA56" s="13">
        <v>31.47</v>
      </c>
      <c r="CB56" s="13">
        <v>2.2069999999999999</v>
      </c>
      <c r="CC56" s="13">
        <v>16.995999999999999</v>
      </c>
      <c r="CD56" s="13">
        <v>20.234000000000002</v>
      </c>
      <c r="CE56" s="13">
        <v>23.782</v>
      </c>
      <c r="CF56" s="13">
        <v>20.584</v>
      </c>
      <c r="CG56" s="13">
        <v>0</v>
      </c>
      <c r="CH56" s="13">
        <v>3.5379999999999998</v>
      </c>
      <c r="CI56" s="13">
        <v>1.643</v>
      </c>
      <c r="CJ56" s="13">
        <v>0</v>
      </c>
      <c r="CK56" s="13">
        <v>15.881</v>
      </c>
      <c r="CL56" s="13">
        <v>2.0379999999999998</v>
      </c>
      <c r="CM56" s="13">
        <v>1.3069999999999999</v>
      </c>
      <c r="CN56" s="13">
        <v>0.71299999999999997</v>
      </c>
      <c r="CO56" s="13">
        <v>0</v>
      </c>
      <c r="CP56" s="13">
        <v>0</v>
      </c>
      <c r="CQ56" s="13">
        <v>2.8140000000000001</v>
      </c>
      <c r="CR56" s="13">
        <v>31.562999999999999</v>
      </c>
      <c r="CS56" s="10">
        <v>6.0259999999999998</v>
      </c>
      <c r="CT56" s="10">
        <v>0.91</v>
      </c>
      <c r="CU56" s="10">
        <v>0</v>
      </c>
      <c r="CV56" s="10">
        <v>0</v>
      </c>
      <c r="CW56" s="10">
        <v>0</v>
      </c>
      <c r="CX56" s="10">
        <v>4.75</v>
      </c>
      <c r="CY56" s="10">
        <v>4.3259999999999996</v>
      </c>
      <c r="CZ56" s="10">
        <v>1.0329999999999999</v>
      </c>
    </row>
    <row r="57" spans="2:104" x14ac:dyDescent="0.25">
      <c r="B57" s="5" t="s">
        <v>82</v>
      </c>
      <c r="C57" s="10">
        <v>9.3469999999999995</v>
      </c>
      <c r="D57" s="10">
        <v>9.0069999999999997</v>
      </c>
      <c r="E57" s="10">
        <v>0.81699999999999995</v>
      </c>
      <c r="F57" s="10">
        <v>0</v>
      </c>
      <c r="G57" s="10">
        <v>0</v>
      </c>
      <c r="H57" s="10">
        <v>1.8089999999999999</v>
      </c>
      <c r="I57" s="10">
        <v>0</v>
      </c>
      <c r="J57" s="10">
        <v>0.32500000000000001</v>
      </c>
      <c r="K57" s="10">
        <v>0</v>
      </c>
      <c r="L57" s="10">
        <v>0</v>
      </c>
      <c r="M57" s="13">
        <v>0.72</v>
      </c>
      <c r="N57" s="13">
        <v>0</v>
      </c>
      <c r="O57" s="13">
        <v>0.32300000000000001</v>
      </c>
      <c r="P57" s="13">
        <v>0.502</v>
      </c>
      <c r="Q57" s="13">
        <v>0</v>
      </c>
      <c r="R57" s="13">
        <v>0</v>
      </c>
      <c r="S57" s="13">
        <v>0</v>
      </c>
      <c r="T57" s="13">
        <v>1.3140000000000001</v>
      </c>
      <c r="U57" s="13">
        <v>0</v>
      </c>
      <c r="V57" s="13">
        <v>1.792</v>
      </c>
      <c r="W57" s="13">
        <v>0.69599999999999995</v>
      </c>
      <c r="X57" s="13">
        <v>0</v>
      </c>
      <c r="Y57" s="13">
        <v>0.94799999999999995</v>
      </c>
      <c r="Z57" s="13">
        <v>1.468</v>
      </c>
      <c r="AA57" s="13">
        <v>3.8210000000000002</v>
      </c>
      <c r="AB57" s="13">
        <v>11.807</v>
      </c>
      <c r="AC57" s="13">
        <v>1.1499999999999999</v>
      </c>
      <c r="AD57" s="13">
        <v>0</v>
      </c>
      <c r="AE57" s="13">
        <v>0</v>
      </c>
      <c r="AF57" s="13">
        <v>3.54</v>
      </c>
      <c r="AG57" s="13">
        <v>4.4509999999999996</v>
      </c>
      <c r="AH57" s="13">
        <v>0.57799999999999996</v>
      </c>
      <c r="AI57" s="13">
        <v>6.2779999999999996</v>
      </c>
      <c r="AJ57" s="13">
        <v>3.1909999999999998</v>
      </c>
      <c r="AK57" s="13">
        <v>0.84399999999999997</v>
      </c>
      <c r="AL57" s="13">
        <v>1.8049999999999999</v>
      </c>
      <c r="AM57" s="13">
        <v>0</v>
      </c>
      <c r="AN57" s="13">
        <v>9.5039999999999996</v>
      </c>
      <c r="AO57" s="13">
        <v>0</v>
      </c>
      <c r="AP57" s="13">
        <v>4.3259999999999996</v>
      </c>
      <c r="AQ57" s="13">
        <v>9.36</v>
      </c>
      <c r="AR57" s="10">
        <v>0</v>
      </c>
      <c r="AS57" s="10">
        <v>0</v>
      </c>
      <c r="AT57" s="10">
        <v>4.2549999999999999</v>
      </c>
      <c r="AU57" s="10">
        <v>4.0739999999999998</v>
      </c>
      <c r="AV57" s="10">
        <v>0.61099999999999999</v>
      </c>
      <c r="AW57" s="10">
        <v>5.7380000000000004</v>
      </c>
      <c r="AX57" s="10">
        <v>0.161</v>
      </c>
      <c r="AY57" s="10">
        <v>0</v>
      </c>
      <c r="AZ57" s="10">
        <v>3.907</v>
      </c>
      <c r="BA57" s="13">
        <v>0</v>
      </c>
      <c r="BB57" s="13">
        <v>1.08</v>
      </c>
      <c r="BC57" s="13">
        <v>1.268</v>
      </c>
      <c r="BD57" s="13">
        <v>0</v>
      </c>
      <c r="BE57" s="13">
        <v>0</v>
      </c>
      <c r="BF57" s="13">
        <v>0</v>
      </c>
      <c r="BG57" s="13">
        <v>1.74</v>
      </c>
      <c r="BH57" s="13">
        <v>2.645</v>
      </c>
      <c r="BI57" s="10">
        <v>0</v>
      </c>
      <c r="BJ57" s="10">
        <v>0</v>
      </c>
      <c r="BK57" s="10">
        <v>0</v>
      </c>
      <c r="BL57" s="13">
        <v>0</v>
      </c>
      <c r="BM57" s="13">
        <v>7.9249999999999998</v>
      </c>
      <c r="BN57" s="13">
        <v>0</v>
      </c>
      <c r="BO57" s="13">
        <v>5.3070000000000004</v>
      </c>
      <c r="BP57" s="13">
        <v>0</v>
      </c>
      <c r="BQ57" s="13">
        <v>0</v>
      </c>
      <c r="BR57" s="10">
        <v>0</v>
      </c>
      <c r="BS57" s="10">
        <v>6.5</v>
      </c>
      <c r="BT57" s="10">
        <v>4.0730000000000004</v>
      </c>
      <c r="BU57" s="10">
        <v>0</v>
      </c>
      <c r="BV57" s="10">
        <v>0</v>
      </c>
      <c r="BW57" s="10">
        <v>1.833</v>
      </c>
      <c r="BX57" s="13">
        <v>0</v>
      </c>
      <c r="BY57" s="13">
        <v>7.9000000000000001E-2</v>
      </c>
      <c r="BZ57" s="13">
        <v>0</v>
      </c>
      <c r="CA57" s="13">
        <v>18.850000000000001</v>
      </c>
      <c r="CB57" s="13">
        <v>10.686999999999999</v>
      </c>
      <c r="CC57" s="13">
        <v>0</v>
      </c>
      <c r="CD57" s="13">
        <v>0</v>
      </c>
      <c r="CE57" s="13">
        <v>14.169</v>
      </c>
      <c r="CF57" s="13">
        <v>0.31900000000000001</v>
      </c>
      <c r="CG57" s="13">
        <v>0.21199999999999999</v>
      </c>
      <c r="CH57" s="13">
        <v>1.7689999999999999</v>
      </c>
      <c r="CI57" s="13">
        <v>1.7070000000000001</v>
      </c>
      <c r="CJ57" s="13">
        <v>0</v>
      </c>
      <c r="CK57" s="13">
        <v>0</v>
      </c>
      <c r="CL57" s="13">
        <v>0.64200000000000002</v>
      </c>
      <c r="CM57" s="13">
        <v>7.5060000000000002</v>
      </c>
      <c r="CN57" s="13">
        <v>0.71299999999999997</v>
      </c>
      <c r="CO57" s="13">
        <v>0</v>
      </c>
      <c r="CP57" s="13">
        <v>0</v>
      </c>
      <c r="CQ57" s="13">
        <v>2.327</v>
      </c>
      <c r="CR57" s="13">
        <v>6.2889999999999997</v>
      </c>
      <c r="CS57" s="10">
        <v>0</v>
      </c>
      <c r="CT57" s="10">
        <v>3.641</v>
      </c>
      <c r="CU57" s="10">
        <v>0</v>
      </c>
      <c r="CV57" s="10">
        <v>0</v>
      </c>
      <c r="CW57" s="10">
        <v>0</v>
      </c>
      <c r="CX57" s="10">
        <v>3.7240000000000002</v>
      </c>
      <c r="CY57" s="10">
        <v>0</v>
      </c>
      <c r="CZ57" s="10">
        <v>0</v>
      </c>
    </row>
    <row r="58" spans="2:104" x14ac:dyDescent="0.25">
      <c r="B58" s="5" t="s">
        <v>81</v>
      </c>
      <c r="C58" s="10">
        <v>24.867999999999999</v>
      </c>
      <c r="D58" s="10">
        <v>10.294</v>
      </c>
      <c r="E58" s="10">
        <v>3.266</v>
      </c>
      <c r="F58" s="10">
        <v>0</v>
      </c>
      <c r="G58" s="10">
        <v>0.77600000000000002</v>
      </c>
      <c r="H58" s="10">
        <v>0</v>
      </c>
      <c r="I58" s="10">
        <v>0</v>
      </c>
      <c r="J58" s="10">
        <v>14.601000000000001</v>
      </c>
      <c r="K58" s="10">
        <v>18.616</v>
      </c>
      <c r="L58" s="10">
        <v>33.073</v>
      </c>
      <c r="M58" s="13">
        <v>0</v>
      </c>
      <c r="N58" s="13">
        <v>5.03</v>
      </c>
      <c r="O58" s="13">
        <v>0</v>
      </c>
      <c r="P58" s="13">
        <v>0.14599999999999999</v>
      </c>
      <c r="Q58" s="13">
        <v>0</v>
      </c>
      <c r="R58" s="13">
        <v>0</v>
      </c>
      <c r="S58" s="13">
        <v>0</v>
      </c>
      <c r="T58" s="13">
        <v>2.6280000000000001</v>
      </c>
      <c r="U58" s="13">
        <v>0.78300000000000003</v>
      </c>
      <c r="V58" s="13">
        <v>0</v>
      </c>
      <c r="W58" s="13">
        <v>1.4119999999999999</v>
      </c>
      <c r="X58" s="13">
        <v>0</v>
      </c>
      <c r="Y58" s="13">
        <v>0.316</v>
      </c>
      <c r="Z58" s="13">
        <v>2.9359999999999999</v>
      </c>
      <c r="AA58" s="13">
        <v>7.6429999999999998</v>
      </c>
      <c r="AB58" s="13">
        <v>4.5140000000000002</v>
      </c>
      <c r="AC58" s="13">
        <v>0.38300000000000001</v>
      </c>
      <c r="AD58" s="13">
        <v>1.3660000000000001</v>
      </c>
      <c r="AE58" s="13">
        <v>7.5579999999999998</v>
      </c>
      <c r="AF58" s="13">
        <v>3.54</v>
      </c>
      <c r="AG58" s="13">
        <v>1.915</v>
      </c>
      <c r="AH58" s="13">
        <v>0</v>
      </c>
      <c r="AI58" s="13">
        <v>0</v>
      </c>
      <c r="AJ58" s="13">
        <v>4.2519999999999998</v>
      </c>
      <c r="AK58" s="13">
        <v>0</v>
      </c>
      <c r="AL58" s="13">
        <v>0.84399999999999997</v>
      </c>
      <c r="AM58" s="13">
        <v>0</v>
      </c>
      <c r="AN58" s="13">
        <v>0</v>
      </c>
      <c r="AO58" s="13">
        <v>4.8620000000000001</v>
      </c>
      <c r="AP58" s="13">
        <v>0.57699999999999996</v>
      </c>
      <c r="AQ58" s="13">
        <v>6.7160000000000002</v>
      </c>
      <c r="AR58" s="10">
        <v>27.271999999999998</v>
      </c>
      <c r="AS58" s="10">
        <v>0</v>
      </c>
      <c r="AT58" s="10">
        <v>12.426</v>
      </c>
      <c r="AU58" s="10">
        <v>8.1479999999999997</v>
      </c>
      <c r="AV58" s="10">
        <v>0.84599999999999997</v>
      </c>
      <c r="AW58" s="10">
        <v>5.9870000000000001</v>
      </c>
      <c r="AX58" s="10">
        <v>0.20100000000000001</v>
      </c>
      <c r="AY58" s="10">
        <v>0</v>
      </c>
      <c r="AZ58" s="10">
        <v>1.6990000000000001</v>
      </c>
      <c r="BA58" s="13">
        <v>0</v>
      </c>
      <c r="BB58" s="13">
        <v>5.4020000000000001</v>
      </c>
      <c r="BC58" s="13">
        <v>1.58</v>
      </c>
      <c r="BD58" s="13">
        <v>0.27600000000000002</v>
      </c>
      <c r="BE58" s="13">
        <v>1.4350000000000001</v>
      </c>
      <c r="BF58" s="13">
        <v>3.0720000000000001</v>
      </c>
      <c r="BG58" s="13">
        <v>0</v>
      </c>
      <c r="BH58" s="13">
        <v>4.694</v>
      </c>
      <c r="BI58" s="10">
        <v>0</v>
      </c>
      <c r="BJ58" s="10">
        <v>0</v>
      </c>
      <c r="BK58" s="10">
        <v>0</v>
      </c>
      <c r="BL58" s="13">
        <v>0</v>
      </c>
      <c r="BM58" s="13">
        <v>0</v>
      </c>
      <c r="BN58" s="13">
        <v>44.863</v>
      </c>
      <c r="BO58" s="13">
        <v>19.829999999999998</v>
      </c>
      <c r="BP58" s="13">
        <v>6.5060000000000002</v>
      </c>
      <c r="BQ58" s="13">
        <v>33.554000000000002</v>
      </c>
      <c r="BR58" s="10">
        <v>0</v>
      </c>
      <c r="BS58" s="10">
        <v>2.1669999999999998</v>
      </c>
      <c r="BT58" s="10">
        <v>0</v>
      </c>
      <c r="BU58" s="10">
        <v>0</v>
      </c>
      <c r="BV58" s="10">
        <v>0</v>
      </c>
      <c r="BW58" s="10">
        <v>6.5110000000000001</v>
      </c>
      <c r="BX58" s="13">
        <v>0.189</v>
      </c>
      <c r="BY58" s="13">
        <v>0</v>
      </c>
      <c r="BZ58" s="13">
        <v>0</v>
      </c>
      <c r="CA58" s="13">
        <v>18.704999999999998</v>
      </c>
      <c r="CB58" s="13">
        <v>2.577</v>
      </c>
      <c r="CC58" s="13">
        <v>10.69</v>
      </c>
      <c r="CD58" s="13">
        <v>0</v>
      </c>
      <c r="CE58" s="13">
        <v>5.4329999999999998</v>
      </c>
      <c r="CF58" s="13">
        <v>0</v>
      </c>
      <c r="CG58" s="13">
        <v>17.597000000000001</v>
      </c>
      <c r="CH58" s="13">
        <v>4.4279999999999999</v>
      </c>
      <c r="CI58" s="13">
        <v>5.617</v>
      </c>
      <c r="CJ58" s="13">
        <v>5.5</v>
      </c>
      <c r="CK58" s="13">
        <v>0</v>
      </c>
      <c r="CL58" s="13">
        <v>0.315</v>
      </c>
      <c r="CM58" s="13">
        <v>8.0869999999999997</v>
      </c>
      <c r="CN58" s="13">
        <v>0.71299999999999997</v>
      </c>
      <c r="CO58" s="13">
        <v>0</v>
      </c>
      <c r="CP58" s="13">
        <v>0</v>
      </c>
      <c r="CQ58" s="13">
        <v>0.69199999999999995</v>
      </c>
      <c r="CR58" s="13">
        <v>0</v>
      </c>
      <c r="CS58" s="10">
        <v>7.4349999999999996</v>
      </c>
      <c r="CT58" s="10">
        <v>0.59199999999999997</v>
      </c>
      <c r="CU58" s="10">
        <v>0</v>
      </c>
      <c r="CV58" s="10">
        <v>1.855</v>
      </c>
      <c r="CW58" s="10">
        <v>0</v>
      </c>
      <c r="CX58" s="10">
        <v>14.896000000000001</v>
      </c>
      <c r="CY58" s="10">
        <v>0</v>
      </c>
      <c r="CZ58" s="10">
        <v>0</v>
      </c>
    </row>
    <row r="59" spans="2:104" x14ac:dyDescent="0.25">
      <c r="B59" s="5" t="s">
        <v>80</v>
      </c>
      <c r="C59" s="10">
        <v>9.3469999999999995</v>
      </c>
      <c r="D59" s="10">
        <v>0</v>
      </c>
      <c r="E59" s="10">
        <v>0</v>
      </c>
      <c r="F59" s="10">
        <v>5.0679999999999996</v>
      </c>
      <c r="G59" s="10">
        <v>0</v>
      </c>
      <c r="H59" s="10">
        <v>0</v>
      </c>
      <c r="I59" s="10">
        <v>0</v>
      </c>
      <c r="J59" s="10">
        <v>0</v>
      </c>
      <c r="K59" s="10">
        <v>15.209</v>
      </c>
      <c r="L59" s="10">
        <v>58.993000000000002</v>
      </c>
      <c r="M59" s="13">
        <v>5.03</v>
      </c>
      <c r="N59" s="13">
        <v>2.786</v>
      </c>
      <c r="O59" s="13">
        <v>0.115</v>
      </c>
      <c r="P59" s="13">
        <v>0.14599999999999999</v>
      </c>
      <c r="Q59" s="13">
        <v>0</v>
      </c>
      <c r="R59" s="13">
        <v>5.21</v>
      </c>
      <c r="S59" s="13">
        <v>0.46700000000000003</v>
      </c>
      <c r="T59" s="13">
        <v>1.502</v>
      </c>
      <c r="U59" s="13">
        <v>1.5669999999999999</v>
      </c>
      <c r="V59" s="13">
        <v>5.375</v>
      </c>
      <c r="W59" s="13">
        <v>1.4119999999999999</v>
      </c>
      <c r="X59" s="13">
        <v>0</v>
      </c>
      <c r="Y59" s="13">
        <v>0</v>
      </c>
      <c r="Z59" s="13">
        <v>4.2089999999999996</v>
      </c>
      <c r="AA59" s="13">
        <v>0</v>
      </c>
      <c r="AB59" s="13">
        <v>4.3230000000000004</v>
      </c>
      <c r="AC59" s="13">
        <v>1.5860000000000001</v>
      </c>
      <c r="AD59" s="13">
        <v>5.4619999999999997</v>
      </c>
      <c r="AE59" s="13">
        <v>3.3889999999999998</v>
      </c>
      <c r="AF59" s="13">
        <v>0.313</v>
      </c>
      <c r="AG59" s="13">
        <v>4.8899999999999997</v>
      </c>
      <c r="AH59" s="13">
        <v>1.1559999999999999</v>
      </c>
      <c r="AI59" s="13">
        <v>6.7889999999999997</v>
      </c>
      <c r="AJ59" s="13">
        <v>7.6020000000000003</v>
      </c>
      <c r="AK59" s="13">
        <v>5.0839999999999996</v>
      </c>
      <c r="AL59" s="13">
        <v>0</v>
      </c>
      <c r="AM59" s="13">
        <v>14.483000000000001</v>
      </c>
      <c r="AN59" s="13">
        <v>0</v>
      </c>
      <c r="AO59" s="13">
        <v>4.8620000000000001</v>
      </c>
      <c r="AP59" s="13">
        <v>4.3259999999999996</v>
      </c>
      <c r="AQ59" s="13">
        <v>8.27</v>
      </c>
      <c r="AR59" s="10">
        <v>0.14899999999999999</v>
      </c>
      <c r="AS59" s="10">
        <v>27.582999999999998</v>
      </c>
      <c r="AT59" s="10">
        <v>4.97</v>
      </c>
      <c r="AU59" s="10">
        <v>4.0739999999999998</v>
      </c>
      <c r="AV59" s="10">
        <v>4.37</v>
      </c>
      <c r="AW59" s="10">
        <v>4.3040000000000003</v>
      </c>
      <c r="AX59" s="10">
        <v>6.7000000000000004E-2</v>
      </c>
      <c r="AY59" s="10">
        <v>0</v>
      </c>
      <c r="AZ59" s="10">
        <v>0</v>
      </c>
      <c r="BA59" s="13">
        <v>0</v>
      </c>
      <c r="BB59" s="13">
        <v>0</v>
      </c>
      <c r="BC59" s="13">
        <v>6.9089999999999998</v>
      </c>
      <c r="BD59" s="13">
        <v>0</v>
      </c>
      <c r="BE59" s="13">
        <v>0</v>
      </c>
      <c r="BF59" s="13">
        <v>0</v>
      </c>
      <c r="BG59" s="13">
        <v>5.6269999999999998</v>
      </c>
      <c r="BH59" s="13">
        <v>1.583</v>
      </c>
      <c r="BI59" s="10">
        <v>0</v>
      </c>
      <c r="BJ59" s="10">
        <v>2.9119999999999999</v>
      </c>
      <c r="BK59" s="10">
        <v>0</v>
      </c>
      <c r="BL59" s="13">
        <v>0</v>
      </c>
      <c r="BM59" s="13">
        <v>3.3780000000000001</v>
      </c>
      <c r="BN59" s="13">
        <v>0</v>
      </c>
      <c r="BO59" s="13">
        <v>3.766</v>
      </c>
      <c r="BP59" s="13">
        <v>8.5020000000000007</v>
      </c>
      <c r="BQ59" s="13">
        <v>16.829999999999998</v>
      </c>
      <c r="BR59" s="10">
        <v>0</v>
      </c>
      <c r="BS59" s="10">
        <v>0</v>
      </c>
      <c r="BT59" s="10">
        <v>0</v>
      </c>
      <c r="BU59" s="10">
        <v>1.67</v>
      </c>
      <c r="BV59" s="10">
        <v>0</v>
      </c>
      <c r="BW59" s="10">
        <v>3.0169999999999999</v>
      </c>
      <c r="BX59" s="13">
        <v>0</v>
      </c>
      <c r="BY59" s="13">
        <v>0.254</v>
      </c>
      <c r="BZ59" s="13">
        <v>41.935000000000002</v>
      </c>
      <c r="CA59" s="13">
        <v>6.1349999999999998</v>
      </c>
      <c r="CB59" s="13">
        <v>19.170000000000002</v>
      </c>
      <c r="CC59" s="13">
        <v>0</v>
      </c>
      <c r="CD59" s="13">
        <v>0</v>
      </c>
      <c r="CE59" s="13">
        <v>20.353000000000002</v>
      </c>
      <c r="CF59" s="13">
        <v>0</v>
      </c>
      <c r="CG59" s="13">
        <v>17.385000000000002</v>
      </c>
      <c r="CH59" s="13">
        <v>1.5680000000000001</v>
      </c>
      <c r="CI59" s="13">
        <v>3.5819999999999999</v>
      </c>
      <c r="CJ59" s="13">
        <v>0</v>
      </c>
      <c r="CK59" s="13">
        <v>3.0339999999999998</v>
      </c>
      <c r="CL59" s="13">
        <v>1.3919999999999999</v>
      </c>
      <c r="CM59" s="13">
        <v>3.2629999999999999</v>
      </c>
      <c r="CN59" s="13">
        <v>0</v>
      </c>
      <c r="CO59" s="13">
        <v>5.2670000000000003</v>
      </c>
      <c r="CP59" s="13">
        <v>0</v>
      </c>
      <c r="CQ59" s="13">
        <v>2.7130000000000001</v>
      </c>
      <c r="CR59" s="13">
        <v>33.942</v>
      </c>
      <c r="CS59" s="10">
        <v>0</v>
      </c>
      <c r="CT59" s="10">
        <v>1.82</v>
      </c>
      <c r="CU59" s="10">
        <v>0</v>
      </c>
      <c r="CV59" s="10">
        <v>1.2370000000000001</v>
      </c>
      <c r="CW59" s="10">
        <v>0</v>
      </c>
      <c r="CX59" s="10">
        <v>7.4480000000000004</v>
      </c>
      <c r="CY59" s="10">
        <v>2.8839999999999999</v>
      </c>
      <c r="CZ59" s="10">
        <v>0</v>
      </c>
    </row>
    <row r="60" spans="2:104" x14ac:dyDescent="0.25">
      <c r="B60" s="5" t="s">
        <v>79</v>
      </c>
      <c r="C60" s="10">
        <v>9.3469999999999995</v>
      </c>
      <c r="D60" s="10">
        <v>9.2260000000000009</v>
      </c>
      <c r="E60" s="10">
        <v>0.56499999999999995</v>
      </c>
      <c r="F60" s="10">
        <v>5.0679999999999996</v>
      </c>
      <c r="G60" s="10">
        <v>0</v>
      </c>
      <c r="H60" s="10">
        <v>0</v>
      </c>
      <c r="I60" s="10">
        <v>2.976</v>
      </c>
      <c r="J60" s="10">
        <v>0</v>
      </c>
      <c r="K60" s="10">
        <v>16.622</v>
      </c>
      <c r="L60" s="10">
        <v>0</v>
      </c>
      <c r="M60" s="13">
        <v>2.786</v>
      </c>
      <c r="N60" s="13">
        <v>1.006</v>
      </c>
      <c r="O60" s="13">
        <v>0.34599999999999997</v>
      </c>
      <c r="P60" s="13">
        <v>0</v>
      </c>
      <c r="Q60" s="13">
        <v>0</v>
      </c>
      <c r="R60" s="13">
        <v>0</v>
      </c>
      <c r="S60" s="13">
        <v>0</v>
      </c>
      <c r="T60" s="13">
        <v>1.9710000000000001</v>
      </c>
      <c r="U60" s="13">
        <v>1.5669999999999999</v>
      </c>
      <c r="V60" s="13">
        <v>7.1669999999999998</v>
      </c>
      <c r="W60" s="13">
        <v>2.1179999999999999</v>
      </c>
      <c r="X60" s="13">
        <v>0</v>
      </c>
      <c r="Y60" s="13">
        <v>1.615</v>
      </c>
      <c r="Z60" s="13">
        <v>1.21</v>
      </c>
      <c r="AA60" s="13">
        <v>0.92</v>
      </c>
      <c r="AB60" s="13">
        <v>5.4770000000000003</v>
      </c>
      <c r="AC60" s="13">
        <v>0</v>
      </c>
      <c r="AD60" s="13">
        <v>5.4619999999999997</v>
      </c>
      <c r="AE60" s="13">
        <v>9.8279999999999994</v>
      </c>
      <c r="AF60" s="13">
        <v>8.1920000000000002</v>
      </c>
      <c r="AG60" s="13">
        <v>4.8000000000000001E-2</v>
      </c>
      <c r="AH60" s="13">
        <v>0</v>
      </c>
      <c r="AI60" s="13">
        <v>7.6550000000000002</v>
      </c>
      <c r="AJ60" s="13">
        <v>0</v>
      </c>
      <c r="AK60" s="13">
        <v>4.9669999999999996</v>
      </c>
      <c r="AL60" s="13">
        <v>5.0839999999999996</v>
      </c>
      <c r="AM60" s="13">
        <v>14.483000000000001</v>
      </c>
      <c r="AN60" s="13">
        <v>0</v>
      </c>
      <c r="AO60" s="13">
        <v>0</v>
      </c>
      <c r="AP60" s="13">
        <v>12.978</v>
      </c>
      <c r="AQ60" s="13">
        <v>18.884</v>
      </c>
      <c r="AR60" s="10">
        <v>0</v>
      </c>
      <c r="AS60" s="10">
        <v>0</v>
      </c>
      <c r="AT60" s="10">
        <v>9.9410000000000007</v>
      </c>
      <c r="AU60" s="10">
        <v>0</v>
      </c>
      <c r="AV60" s="10">
        <v>1.35</v>
      </c>
      <c r="AW60" s="10">
        <v>0</v>
      </c>
      <c r="AX60" s="10">
        <v>0</v>
      </c>
      <c r="AY60" s="10">
        <v>0</v>
      </c>
      <c r="AZ60" s="10">
        <v>0</v>
      </c>
      <c r="BA60" s="13">
        <v>0.159</v>
      </c>
      <c r="BB60" s="13">
        <v>0</v>
      </c>
      <c r="BC60" s="13">
        <v>0</v>
      </c>
      <c r="BD60" s="13">
        <v>1.2949999999999999</v>
      </c>
      <c r="BE60" s="13">
        <v>0</v>
      </c>
      <c r="BF60" s="13">
        <v>0</v>
      </c>
      <c r="BG60" s="13">
        <v>1.8759999999999999</v>
      </c>
      <c r="BH60" s="13">
        <v>0</v>
      </c>
      <c r="BI60" s="10">
        <v>3.1040000000000001</v>
      </c>
      <c r="BJ60" s="10">
        <v>2.851</v>
      </c>
      <c r="BK60" s="10">
        <v>2.754</v>
      </c>
      <c r="BL60" s="13">
        <v>0</v>
      </c>
      <c r="BM60" s="13">
        <v>0</v>
      </c>
      <c r="BN60" s="13">
        <v>37.731000000000002</v>
      </c>
      <c r="BO60" s="13">
        <v>0</v>
      </c>
      <c r="BP60" s="13">
        <v>0</v>
      </c>
      <c r="BQ60" s="13">
        <v>0</v>
      </c>
      <c r="BR60" s="10">
        <v>0</v>
      </c>
      <c r="BS60" s="10">
        <v>2.9980000000000002</v>
      </c>
      <c r="BT60" s="10">
        <v>2.1669999999999998</v>
      </c>
      <c r="BU60" s="10">
        <v>1.67</v>
      </c>
      <c r="BV60" s="10">
        <v>2.7650000000000001</v>
      </c>
      <c r="BW60" s="10">
        <v>4.3410000000000002</v>
      </c>
      <c r="BX60" s="13">
        <v>0.20599999999999999</v>
      </c>
      <c r="BY60" s="13">
        <v>0.158</v>
      </c>
      <c r="BZ60" s="13">
        <v>5.8860000000000001</v>
      </c>
      <c r="CA60" s="13">
        <v>3.468</v>
      </c>
      <c r="CB60" s="13">
        <v>9.5960000000000001</v>
      </c>
      <c r="CC60" s="13">
        <v>11.21</v>
      </c>
      <c r="CD60" s="13">
        <v>0</v>
      </c>
      <c r="CE60" s="13">
        <v>15.855</v>
      </c>
      <c r="CF60" s="13">
        <v>9.6050000000000004</v>
      </c>
      <c r="CG60" s="13">
        <v>10.576000000000001</v>
      </c>
      <c r="CH60" s="13">
        <v>1.5680000000000001</v>
      </c>
      <c r="CI60" s="13">
        <v>3.2120000000000002</v>
      </c>
      <c r="CJ60" s="13">
        <v>0</v>
      </c>
      <c r="CK60" s="13">
        <v>0</v>
      </c>
      <c r="CL60" s="13">
        <v>0.88500000000000001</v>
      </c>
      <c r="CM60" s="13">
        <v>0</v>
      </c>
      <c r="CN60" s="13">
        <v>0</v>
      </c>
      <c r="CO60" s="13">
        <v>7.6950000000000003</v>
      </c>
      <c r="CP60" s="13">
        <v>0</v>
      </c>
      <c r="CQ60" s="13">
        <v>4.13</v>
      </c>
      <c r="CR60" s="13">
        <v>40.231000000000002</v>
      </c>
      <c r="CS60" s="10">
        <v>0</v>
      </c>
      <c r="CT60" s="10">
        <v>1.798</v>
      </c>
      <c r="CU60" s="10">
        <v>0</v>
      </c>
      <c r="CV60" s="10">
        <v>1.2370000000000001</v>
      </c>
      <c r="CW60" s="10">
        <v>0</v>
      </c>
      <c r="CX60" s="10">
        <v>7.4480000000000004</v>
      </c>
      <c r="CY60" s="10">
        <v>2.8839999999999999</v>
      </c>
      <c r="CZ60" s="10">
        <v>0.317</v>
      </c>
    </row>
    <row r="61" spans="2:104" x14ac:dyDescent="0.25">
      <c r="B61" s="5" t="s">
        <v>78</v>
      </c>
      <c r="C61" s="10">
        <v>9.3469999999999995</v>
      </c>
      <c r="D61" s="10">
        <v>0</v>
      </c>
      <c r="E61" s="10">
        <v>0.56499999999999995</v>
      </c>
      <c r="F61" s="10">
        <v>9.0329999999999995</v>
      </c>
      <c r="G61" s="10">
        <v>0</v>
      </c>
      <c r="H61" s="10">
        <v>0</v>
      </c>
      <c r="I61" s="10">
        <v>0</v>
      </c>
      <c r="J61" s="10">
        <v>0</v>
      </c>
      <c r="K61" s="10">
        <v>30.417999999999999</v>
      </c>
      <c r="L61" s="10">
        <v>2.2639999999999998</v>
      </c>
      <c r="M61" s="13">
        <v>1.006</v>
      </c>
      <c r="N61" s="13">
        <v>2.8889999999999998</v>
      </c>
      <c r="O61" s="13">
        <v>0.115</v>
      </c>
      <c r="P61" s="13">
        <v>0.14599999999999999</v>
      </c>
      <c r="Q61" s="13">
        <v>2.5289999999999999</v>
      </c>
      <c r="R61" s="13">
        <v>1.429</v>
      </c>
      <c r="S61" s="13">
        <v>0</v>
      </c>
      <c r="T61" s="13">
        <v>0.65700000000000003</v>
      </c>
      <c r="U61" s="13">
        <v>1.5669999999999999</v>
      </c>
      <c r="V61" s="13">
        <v>3.2320000000000002</v>
      </c>
      <c r="W61" s="13">
        <v>2.1179999999999999</v>
      </c>
      <c r="X61" s="13">
        <v>0</v>
      </c>
      <c r="Y61" s="13">
        <v>0.32300000000000001</v>
      </c>
      <c r="Z61" s="13">
        <v>0</v>
      </c>
      <c r="AA61" s="13">
        <v>0</v>
      </c>
      <c r="AB61" s="13">
        <v>2.5350000000000001</v>
      </c>
      <c r="AC61" s="13">
        <v>0.57299999999999995</v>
      </c>
      <c r="AD61" s="13">
        <v>5.4619999999999997</v>
      </c>
      <c r="AE61" s="13">
        <v>0</v>
      </c>
      <c r="AF61" s="13">
        <v>6.1790000000000003</v>
      </c>
      <c r="AG61" s="13">
        <v>3.9870000000000001</v>
      </c>
      <c r="AH61" s="13">
        <v>1.1559999999999999</v>
      </c>
      <c r="AI61" s="13">
        <v>5.7409999999999997</v>
      </c>
      <c r="AJ61" s="13">
        <v>3.9409999999999998</v>
      </c>
      <c r="AK61" s="13">
        <v>0.746</v>
      </c>
      <c r="AL61" s="13">
        <v>4.9669999999999996</v>
      </c>
      <c r="AM61" s="13">
        <v>0</v>
      </c>
      <c r="AN61" s="13">
        <v>10.46</v>
      </c>
      <c r="AO61" s="13">
        <v>0</v>
      </c>
      <c r="AP61" s="13">
        <v>4.3259999999999996</v>
      </c>
      <c r="AQ61" s="13">
        <v>16.076000000000001</v>
      </c>
      <c r="AR61" s="10">
        <v>12.311999999999999</v>
      </c>
      <c r="AS61" s="10">
        <v>18.103999999999999</v>
      </c>
      <c r="AT61" s="10">
        <v>2.4849999999999999</v>
      </c>
      <c r="AU61" s="10">
        <v>7.8540000000000001</v>
      </c>
      <c r="AV61" s="10">
        <v>1.35</v>
      </c>
      <c r="AW61" s="10">
        <v>0</v>
      </c>
      <c r="AX61" s="10">
        <v>0</v>
      </c>
      <c r="AY61" s="10">
        <v>0</v>
      </c>
      <c r="AZ61" s="10">
        <v>0</v>
      </c>
      <c r="BA61" s="13">
        <v>1.4339999999999999</v>
      </c>
      <c r="BB61" s="13">
        <v>2.0619999999999998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0">
        <v>2.2229999999999999</v>
      </c>
      <c r="BJ61" s="10">
        <v>1.4770000000000001</v>
      </c>
      <c r="BK61" s="10">
        <v>0.86499999999999999</v>
      </c>
      <c r="BL61" s="13">
        <v>0</v>
      </c>
      <c r="BM61" s="13">
        <v>0</v>
      </c>
      <c r="BN61" s="13">
        <v>20.751000000000001</v>
      </c>
      <c r="BO61" s="13">
        <v>0</v>
      </c>
      <c r="BP61" s="13">
        <v>10.42</v>
      </c>
      <c r="BQ61" s="13">
        <v>24.091000000000001</v>
      </c>
      <c r="BR61" s="10">
        <v>0.69</v>
      </c>
      <c r="BS61" s="10">
        <v>4.4969999999999999</v>
      </c>
      <c r="BT61" s="10">
        <v>6.5</v>
      </c>
      <c r="BU61" s="10">
        <v>3.38</v>
      </c>
      <c r="BV61" s="10">
        <v>0</v>
      </c>
      <c r="BW61" s="10">
        <v>2.17</v>
      </c>
      <c r="BX61" s="13">
        <v>0.61799999999999999</v>
      </c>
      <c r="BY61" s="13">
        <v>0</v>
      </c>
      <c r="BZ61" s="13">
        <v>0</v>
      </c>
      <c r="CA61" s="13">
        <v>10.404999999999999</v>
      </c>
      <c r="CB61" s="13">
        <v>20.616</v>
      </c>
      <c r="CC61" s="13">
        <v>0</v>
      </c>
      <c r="CD61" s="13">
        <v>0.56499999999999995</v>
      </c>
      <c r="CE61" s="13">
        <v>17.361000000000001</v>
      </c>
      <c r="CF61" s="13">
        <v>6.7110000000000003</v>
      </c>
      <c r="CG61" s="13">
        <v>32.015999999999998</v>
      </c>
      <c r="CH61" s="13">
        <v>1.5680000000000001</v>
      </c>
      <c r="CI61" s="13">
        <v>1.071</v>
      </c>
      <c r="CJ61" s="13">
        <v>0</v>
      </c>
      <c r="CK61" s="13">
        <v>10.48</v>
      </c>
      <c r="CL61" s="13">
        <v>0</v>
      </c>
      <c r="CM61" s="13">
        <v>0</v>
      </c>
      <c r="CN61" s="13">
        <v>0</v>
      </c>
      <c r="CO61" s="13">
        <v>2.3479999999999999</v>
      </c>
      <c r="CP61" s="13">
        <v>0</v>
      </c>
      <c r="CQ61" s="13">
        <v>0</v>
      </c>
      <c r="CR61" s="13">
        <v>9.5730000000000004</v>
      </c>
      <c r="CS61" s="10">
        <v>0</v>
      </c>
      <c r="CT61" s="10">
        <v>0</v>
      </c>
      <c r="CU61" s="10">
        <v>0</v>
      </c>
      <c r="CV61" s="10">
        <v>0.61799999999999999</v>
      </c>
      <c r="CW61" s="10">
        <v>0</v>
      </c>
      <c r="CX61" s="10">
        <v>9.3070000000000004</v>
      </c>
      <c r="CY61" s="10">
        <v>1.347</v>
      </c>
      <c r="CZ61" s="10">
        <v>0.317</v>
      </c>
    </row>
    <row r="62" spans="2:104" x14ac:dyDescent="0.25">
      <c r="B62" s="5" t="s">
        <v>77</v>
      </c>
      <c r="C62" s="10">
        <v>10.632</v>
      </c>
      <c r="D62" s="10">
        <v>4.6130000000000004</v>
      </c>
      <c r="E62" s="10">
        <v>1.1299999999999999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48.308</v>
      </c>
      <c r="M62" s="13">
        <v>2.8889999999999998</v>
      </c>
      <c r="N62" s="13">
        <v>0.57099999999999995</v>
      </c>
      <c r="O62" s="13">
        <v>0.115</v>
      </c>
      <c r="P62" s="13">
        <v>0</v>
      </c>
      <c r="Q62" s="13">
        <v>2.194</v>
      </c>
      <c r="R62" s="13">
        <v>2.8570000000000002</v>
      </c>
      <c r="S62" s="13">
        <v>0</v>
      </c>
      <c r="T62" s="13">
        <v>1.9710000000000001</v>
      </c>
      <c r="U62" s="13">
        <v>4.5069999999999997</v>
      </c>
      <c r="V62" s="13">
        <v>0</v>
      </c>
      <c r="W62" s="13">
        <v>0.70599999999999996</v>
      </c>
      <c r="X62" s="13">
        <v>0</v>
      </c>
      <c r="Y62" s="13">
        <v>0</v>
      </c>
      <c r="Z62" s="13">
        <v>0</v>
      </c>
      <c r="AA62" s="13">
        <v>2.9020000000000001</v>
      </c>
      <c r="AB62" s="13">
        <v>5.4770000000000003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0.91700000000000004</v>
      </c>
      <c r="AI62" s="13">
        <v>1.9139999999999999</v>
      </c>
      <c r="AJ62" s="13">
        <v>3.4769999999999999</v>
      </c>
      <c r="AK62" s="13">
        <v>0</v>
      </c>
      <c r="AL62" s="13">
        <v>0.746</v>
      </c>
      <c r="AM62" s="13">
        <v>0</v>
      </c>
      <c r="AN62" s="13">
        <v>0</v>
      </c>
      <c r="AO62" s="13">
        <v>20.21</v>
      </c>
      <c r="AP62" s="13">
        <v>0</v>
      </c>
      <c r="AQ62" s="13">
        <v>15.144</v>
      </c>
      <c r="AR62" s="10">
        <v>40.899000000000001</v>
      </c>
      <c r="AS62" s="10">
        <v>18.283999999999999</v>
      </c>
      <c r="AT62" s="10">
        <v>7.4560000000000004</v>
      </c>
      <c r="AU62" s="10">
        <v>0</v>
      </c>
      <c r="AV62" s="10">
        <v>1.35</v>
      </c>
      <c r="AW62" s="10">
        <v>0</v>
      </c>
      <c r="AX62" s="10">
        <v>0</v>
      </c>
      <c r="AY62" s="10">
        <v>0</v>
      </c>
      <c r="AZ62" s="10">
        <v>0</v>
      </c>
      <c r="BA62" s="13">
        <v>0</v>
      </c>
      <c r="BB62" s="13">
        <v>0</v>
      </c>
      <c r="BC62" s="13">
        <v>2.484</v>
      </c>
      <c r="BD62" s="13">
        <v>0</v>
      </c>
      <c r="BE62" s="13">
        <v>0</v>
      </c>
      <c r="BF62" s="13">
        <v>0</v>
      </c>
      <c r="BG62" s="13">
        <v>5.6269999999999998</v>
      </c>
      <c r="BH62" s="13">
        <v>0</v>
      </c>
      <c r="BI62" s="10">
        <v>7.7930000000000001</v>
      </c>
      <c r="BJ62" s="10">
        <v>1.4259999999999999</v>
      </c>
      <c r="BK62" s="10">
        <v>1.99</v>
      </c>
      <c r="BL62" s="13">
        <v>0</v>
      </c>
      <c r="BM62" s="13">
        <v>0</v>
      </c>
      <c r="BN62" s="13">
        <v>25.969000000000001</v>
      </c>
      <c r="BO62" s="13">
        <v>0</v>
      </c>
      <c r="BP62" s="13">
        <v>10.42</v>
      </c>
      <c r="BQ62" s="13">
        <v>0</v>
      </c>
      <c r="BR62" s="10">
        <v>0</v>
      </c>
      <c r="BS62" s="10">
        <v>0</v>
      </c>
      <c r="BT62" s="10">
        <v>2.1669999999999998</v>
      </c>
      <c r="BU62" s="10">
        <v>2.254</v>
      </c>
      <c r="BV62" s="10">
        <v>1.32</v>
      </c>
      <c r="BW62" s="10">
        <v>5.1870000000000003</v>
      </c>
      <c r="BX62" s="13">
        <v>0.41199999999999998</v>
      </c>
      <c r="BY62" s="13">
        <v>0.106</v>
      </c>
      <c r="BZ62" s="13">
        <v>8.8339999999999996</v>
      </c>
      <c r="CA62" s="13">
        <v>6.3090000000000002</v>
      </c>
      <c r="CB62" s="13">
        <v>28.518999999999998</v>
      </c>
      <c r="CC62" s="13">
        <v>0</v>
      </c>
      <c r="CD62" s="13">
        <v>22.216000000000001</v>
      </c>
      <c r="CE62" s="13">
        <v>6.8769999999999998</v>
      </c>
      <c r="CF62" s="13">
        <v>22.041</v>
      </c>
      <c r="CG62" s="13">
        <v>28.323</v>
      </c>
      <c r="CH62" s="13">
        <v>6.27</v>
      </c>
      <c r="CI62" s="13">
        <v>0.63600000000000001</v>
      </c>
      <c r="CJ62" s="13">
        <v>0.432</v>
      </c>
      <c r="CK62" s="13">
        <v>0</v>
      </c>
      <c r="CL62" s="13">
        <v>0</v>
      </c>
      <c r="CM62" s="13">
        <v>0</v>
      </c>
      <c r="CN62" s="13">
        <v>2.8479999999999999</v>
      </c>
      <c r="CO62" s="13">
        <v>7.6950000000000003</v>
      </c>
      <c r="CP62" s="13">
        <v>0</v>
      </c>
      <c r="CQ62" s="13">
        <v>0.57999999999999996</v>
      </c>
      <c r="CR62" s="13">
        <v>0</v>
      </c>
      <c r="CS62" s="10">
        <v>0</v>
      </c>
      <c r="CT62" s="10">
        <v>1.0109999999999999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</row>
    <row r="63" spans="2:104" x14ac:dyDescent="0.25">
      <c r="B63" s="5" t="s">
        <v>76</v>
      </c>
      <c r="C63" s="10">
        <v>27.266999999999999</v>
      </c>
      <c r="D63" s="10">
        <v>0</v>
      </c>
      <c r="E63" s="10">
        <v>0.28299999999999997</v>
      </c>
      <c r="F63" s="10">
        <v>3.0110000000000001</v>
      </c>
      <c r="G63" s="10">
        <v>0</v>
      </c>
      <c r="H63" s="10">
        <v>0</v>
      </c>
      <c r="I63" s="10">
        <v>2.93</v>
      </c>
      <c r="J63" s="10">
        <v>0</v>
      </c>
      <c r="K63" s="10">
        <v>19.689</v>
      </c>
      <c r="L63" s="10">
        <v>16.951000000000001</v>
      </c>
      <c r="M63" s="13">
        <v>0.57099999999999995</v>
      </c>
      <c r="N63" s="13">
        <v>5.7789999999999999</v>
      </c>
      <c r="O63" s="13">
        <v>0.57599999999999996</v>
      </c>
      <c r="P63" s="13">
        <v>0.433</v>
      </c>
      <c r="Q63" s="13">
        <v>1.097</v>
      </c>
      <c r="R63" s="13">
        <v>5.7149999999999999</v>
      </c>
      <c r="S63" s="13">
        <v>0</v>
      </c>
      <c r="T63" s="13">
        <v>1.097</v>
      </c>
      <c r="U63" s="13">
        <v>4.391</v>
      </c>
      <c r="V63" s="13">
        <v>1.077</v>
      </c>
      <c r="W63" s="13">
        <v>1.468</v>
      </c>
      <c r="X63" s="13">
        <v>0</v>
      </c>
      <c r="Y63" s="13">
        <v>0</v>
      </c>
      <c r="Z63" s="13">
        <v>3.0489999999999999</v>
      </c>
      <c r="AA63" s="13">
        <v>2.3889999999999998</v>
      </c>
      <c r="AB63" s="13">
        <v>10.73</v>
      </c>
      <c r="AC63" s="13">
        <v>1.0449999999999999</v>
      </c>
      <c r="AD63" s="13">
        <v>0</v>
      </c>
      <c r="AE63" s="13">
        <v>0</v>
      </c>
      <c r="AF63" s="13">
        <v>3.4910000000000001</v>
      </c>
      <c r="AG63" s="13">
        <v>0</v>
      </c>
      <c r="AH63" s="13">
        <v>1.528</v>
      </c>
      <c r="AI63" s="13">
        <v>5.7409999999999997</v>
      </c>
      <c r="AJ63" s="13">
        <v>3.6989999999999998</v>
      </c>
      <c r="AK63" s="13">
        <v>0.151</v>
      </c>
      <c r="AL63" s="13">
        <v>0</v>
      </c>
      <c r="AM63" s="13">
        <v>0</v>
      </c>
      <c r="AN63" s="13">
        <v>0</v>
      </c>
      <c r="AO63" s="13">
        <v>11.032</v>
      </c>
      <c r="AP63" s="13">
        <v>0</v>
      </c>
      <c r="AQ63" s="13">
        <v>6.2359999999999998</v>
      </c>
      <c r="AR63" s="10">
        <v>14.702999999999999</v>
      </c>
      <c r="AS63" s="10">
        <v>0</v>
      </c>
      <c r="AT63" s="10">
        <v>2.573</v>
      </c>
      <c r="AU63" s="10">
        <v>0</v>
      </c>
      <c r="AV63" s="10">
        <v>7.875</v>
      </c>
      <c r="AW63" s="10">
        <v>0</v>
      </c>
      <c r="AX63" s="10">
        <v>0.91700000000000004</v>
      </c>
      <c r="AY63" s="10">
        <v>0</v>
      </c>
      <c r="AZ63" s="10">
        <v>15.52</v>
      </c>
      <c r="BA63" s="13">
        <v>3.0670000000000002</v>
      </c>
      <c r="BB63" s="13">
        <v>0</v>
      </c>
      <c r="BC63" s="13">
        <v>0</v>
      </c>
      <c r="BD63" s="13">
        <v>0</v>
      </c>
      <c r="BE63" s="13">
        <v>0.33400000000000002</v>
      </c>
      <c r="BF63" s="13">
        <v>0</v>
      </c>
      <c r="BG63" s="13">
        <v>0</v>
      </c>
      <c r="BH63" s="13">
        <v>0.59099999999999997</v>
      </c>
      <c r="BI63" s="10">
        <v>0</v>
      </c>
      <c r="BJ63" s="10">
        <v>2.851</v>
      </c>
      <c r="BK63" s="10">
        <v>0</v>
      </c>
      <c r="BL63" s="13">
        <v>0</v>
      </c>
      <c r="BM63" s="13">
        <v>27.292000000000002</v>
      </c>
      <c r="BN63" s="13">
        <v>22.722999999999999</v>
      </c>
      <c r="BO63" s="13">
        <v>8.3780000000000001</v>
      </c>
      <c r="BP63" s="13">
        <v>0</v>
      </c>
      <c r="BQ63" s="13">
        <v>18.391999999999999</v>
      </c>
      <c r="BR63" s="10">
        <v>0.23899999999999999</v>
      </c>
      <c r="BS63" s="10">
        <v>5.9960000000000004</v>
      </c>
      <c r="BT63" s="10">
        <v>0</v>
      </c>
      <c r="BU63" s="10">
        <v>0</v>
      </c>
      <c r="BV63" s="10">
        <v>0</v>
      </c>
      <c r="BW63" s="10">
        <v>1.698</v>
      </c>
      <c r="BX63" s="13">
        <v>0.41199999999999998</v>
      </c>
      <c r="BY63" s="13">
        <v>0</v>
      </c>
      <c r="BZ63" s="13">
        <v>0</v>
      </c>
      <c r="CA63" s="13">
        <v>8.5</v>
      </c>
      <c r="CB63" s="13">
        <v>0</v>
      </c>
      <c r="CC63" s="13">
        <v>1.9039999999999999</v>
      </c>
      <c r="CD63" s="13">
        <v>28.140999999999998</v>
      </c>
      <c r="CE63" s="13">
        <v>0</v>
      </c>
      <c r="CF63" s="13">
        <v>0</v>
      </c>
      <c r="CG63" s="13">
        <v>1.2390000000000001</v>
      </c>
      <c r="CH63" s="13">
        <v>0</v>
      </c>
      <c r="CI63" s="13">
        <v>1.9079999999999999</v>
      </c>
      <c r="CJ63" s="13">
        <v>0</v>
      </c>
      <c r="CK63" s="13">
        <v>20.960999999999999</v>
      </c>
      <c r="CL63" s="13">
        <v>1.1879999999999999</v>
      </c>
      <c r="CM63" s="13">
        <v>3.544</v>
      </c>
      <c r="CN63" s="13">
        <v>2.8479999999999999</v>
      </c>
      <c r="CO63" s="13">
        <v>0</v>
      </c>
      <c r="CP63" s="13">
        <v>0</v>
      </c>
      <c r="CQ63" s="13">
        <v>0.50800000000000001</v>
      </c>
      <c r="CR63" s="13">
        <v>17.501000000000001</v>
      </c>
      <c r="CS63" s="10">
        <v>9.8859999999999992</v>
      </c>
      <c r="CT63" s="10">
        <v>2.4990000000000001</v>
      </c>
      <c r="CU63" s="10">
        <v>0</v>
      </c>
      <c r="CV63" s="10">
        <v>0</v>
      </c>
      <c r="CW63" s="10">
        <v>0</v>
      </c>
      <c r="CX63" s="10">
        <v>6.5069999999999997</v>
      </c>
      <c r="CY63" s="10">
        <v>1.347</v>
      </c>
      <c r="CZ63" s="10">
        <v>0</v>
      </c>
    </row>
    <row r="64" spans="2:104" x14ac:dyDescent="0.25">
      <c r="B64" s="5" t="s">
        <v>75</v>
      </c>
      <c r="C64" s="10">
        <v>19.048999999999999</v>
      </c>
      <c r="D64" s="10">
        <v>0</v>
      </c>
      <c r="E64" s="10">
        <v>1.413</v>
      </c>
      <c r="F64" s="10">
        <v>3.0110000000000001</v>
      </c>
      <c r="G64" s="10">
        <v>0</v>
      </c>
      <c r="H64" s="10">
        <v>0</v>
      </c>
      <c r="I64" s="10">
        <v>14.81</v>
      </c>
      <c r="J64" s="10">
        <v>2.976</v>
      </c>
      <c r="K64" s="10">
        <v>1.722</v>
      </c>
      <c r="L64" s="10">
        <v>21.864000000000001</v>
      </c>
      <c r="M64" s="13">
        <v>5.7789999999999999</v>
      </c>
      <c r="N64" s="13">
        <v>2.8889999999999998</v>
      </c>
      <c r="O64" s="13">
        <v>0</v>
      </c>
      <c r="P64" s="13">
        <v>0.14399999999999999</v>
      </c>
      <c r="Q64" s="13">
        <v>0.22</v>
      </c>
      <c r="R64" s="13">
        <v>5.7149999999999999</v>
      </c>
      <c r="S64" s="13">
        <v>0</v>
      </c>
      <c r="T64" s="13">
        <v>1.6459999999999999</v>
      </c>
      <c r="U64" s="13">
        <v>0</v>
      </c>
      <c r="V64" s="13">
        <v>3.2320000000000002</v>
      </c>
      <c r="W64" s="13">
        <v>2.9350000000000001</v>
      </c>
      <c r="X64" s="13">
        <v>0</v>
      </c>
      <c r="Y64" s="13">
        <v>0</v>
      </c>
      <c r="Z64" s="13">
        <v>3.3079999999999998</v>
      </c>
      <c r="AA64" s="13">
        <v>0</v>
      </c>
      <c r="AB64" s="13">
        <v>11.18</v>
      </c>
      <c r="AC64" s="13">
        <v>0.57299999999999995</v>
      </c>
      <c r="AD64" s="13">
        <v>0</v>
      </c>
      <c r="AE64" s="13">
        <v>0</v>
      </c>
      <c r="AF64" s="13">
        <v>0</v>
      </c>
      <c r="AG64" s="13">
        <v>16.539000000000001</v>
      </c>
      <c r="AH64" s="13">
        <v>0.91700000000000004</v>
      </c>
      <c r="AI64" s="13">
        <v>8.9849999999999994</v>
      </c>
      <c r="AJ64" s="13">
        <v>0</v>
      </c>
      <c r="AK64" s="13">
        <v>0</v>
      </c>
      <c r="AL64" s="13">
        <v>0.151</v>
      </c>
      <c r="AM64" s="13">
        <v>0</v>
      </c>
      <c r="AN64" s="13">
        <v>0</v>
      </c>
      <c r="AO64" s="13">
        <v>56.186999999999998</v>
      </c>
      <c r="AP64" s="13">
        <v>0</v>
      </c>
      <c r="AQ64" s="13">
        <v>11.993</v>
      </c>
      <c r="AR64" s="10">
        <v>30.113</v>
      </c>
      <c r="AS64" s="10">
        <v>35.527000000000001</v>
      </c>
      <c r="AT64" s="10">
        <v>2.573</v>
      </c>
      <c r="AU64" s="10">
        <v>0</v>
      </c>
      <c r="AV64" s="10">
        <v>4.5</v>
      </c>
      <c r="AW64" s="10">
        <v>0</v>
      </c>
      <c r="AX64" s="10">
        <v>0.184</v>
      </c>
      <c r="AY64" s="10">
        <v>1.667</v>
      </c>
      <c r="AZ64" s="10">
        <v>6.8109999999999999</v>
      </c>
      <c r="BA64" s="13">
        <v>1.4339999999999999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1.1639999999999999</v>
      </c>
      <c r="BH64" s="13">
        <v>3.6230000000000002</v>
      </c>
      <c r="BI64" s="10">
        <v>1.6220000000000001</v>
      </c>
      <c r="BJ64" s="10">
        <v>1.4259999999999999</v>
      </c>
      <c r="BK64" s="10">
        <v>3.9790000000000001</v>
      </c>
      <c r="BL64" s="13">
        <v>0</v>
      </c>
      <c r="BM64" s="13">
        <v>9.0969999999999995</v>
      </c>
      <c r="BN64" s="13">
        <v>8.1720000000000006</v>
      </c>
      <c r="BO64" s="13">
        <v>0</v>
      </c>
      <c r="BP64" s="13">
        <v>0</v>
      </c>
      <c r="BQ64" s="13">
        <v>26.071000000000002</v>
      </c>
      <c r="BR64" s="10">
        <v>0</v>
      </c>
      <c r="BS64" s="10">
        <v>0</v>
      </c>
      <c r="BT64" s="10">
        <v>2.9980000000000002</v>
      </c>
      <c r="BU64" s="10">
        <v>3.38</v>
      </c>
      <c r="BV64" s="10">
        <v>3.1139999999999999</v>
      </c>
      <c r="BW64" s="10">
        <v>1.698</v>
      </c>
      <c r="BX64" s="13">
        <v>0.47699999999999998</v>
      </c>
      <c r="BY64" s="13">
        <v>0.121</v>
      </c>
      <c r="BZ64" s="13">
        <v>14.052</v>
      </c>
      <c r="CA64" s="13">
        <v>4.4210000000000003</v>
      </c>
      <c r="CB64" s="13">
        <v>1.6819999999999999</v>
      </c>
      <c r="CC64" s="13">
        <v>11.673</v>
      </c>
      <c r="CD64" s="13">
        <v>0</v>
      </c>
      <c r="CE64" s="13">
        <v>38.767000000000003</v>
      </c>
      <c r="CF64" s="13">
        <v>0</v>
      </c>
      <c r="CG64" s="13">
        <v>37.401000000000003</v>
      </c>
      <c r="CH64" s="13">
        <v>1.304</v>
      </c>
      <c r="CI64" s="13">
        <v>1.181</v>
      </c>
      <c r="CJ64" s="13">
        <v>1.609</v>
      </c>
      <c r="CK64" s="13">
        <v>10.48</v>
      </c>
      <c r="CL64" s="13">
        <v>0</v>
      </c>
      <c r="CM64" s="13">
        <v>4.8550000000000004</v>
      </c>
      <c r="CN64" s="13">
        <v>1.4239999999999999</v>
      </c>
      <c r="CO64" s="13">
        <v>0</v>
      </c>
      <c r="CP64" s="13">
        <v>0</v>
      </c>
      <c r="CQ64" s="13">
        <v>0</v>
      </c>
      <c r="CR64" s="13">
        <v>7.9269999999999996</v>
      </c>
      <c r="CS64" s="10">
        <v>0</v>
      </c>
      <c r="CT64" s="10">
        <v>0</v>
      </c>
      <c r="CU64" s="10">
        <v>0</v>
      </c>
      <c r="CV64" s="10">
        <v>1.133</v>
      </c>
      <c r="CW64" s="10">
        <v>3.8879999999999999</v>
      </c>
      <c r="CX64" s="10">
        <v>13.207000000000001</v>
      </c>
      <c r="CY64" s="10">
        <v>0</v>
      </c>
      <c r="CZ64" s="10">
        <v>0</v>
      </c>
    </row>
    <row r="65" spans="2:104" x14ac:dyDescent="0.25">
      <c r="B65" s="16" t="s">
        <v>202</v>
      </c>
      <c r="C65" s="15">
        <v>90500000</v>
      </c>
      <c r="D65" s="15">
        <v>5640000</v>
      </c>
      <c r="E65" s="15">
        <v>2100000</v>
      </c>
      <c r="F65" s="15">
        <v>6320000</v>
      </c>
      <c r="G65" s="15">
        <v>1610000</v>
      </c>
      <c r="H65" s="15">
        <v>26400000</v>
      </c>
      <c r="I65" s="15">
        <v>2490000</v>
      </c>
      <c r="J65" s="15">
        <v>26400000</v>
      </c>
      <c r="K65" s="15">
        <v>66300000</v>
      </c>
      <c r="L65" s="15">
        <v>57000000</v>
      </c>
      <c r="M65" s="15">
        <v>7970000</v>
      </c>
      <c r="N65" s="15">
        <v>10700000</v>
      </c>
      <c r="O65" s="15">
        <v>530000</v>
      </c>
      <c r="P65" s="15">
        <v>2590000</v>
      </c>
      <c r="Q65" s="15">
        <v>6700000</v>
      </c>
      <c r="R65" s="15">
        <v>11900000</v>
      </c>
      <c r="S65" s="15">
        <v>2960000</v>
      </c>
      <c r="T65" s="15">
        <v>2210000</v>
      </c>
      <c r="U65" s="15">
        <v>3760000</v>
      </c>
      <c r="V65" s="15">
        <v>4540000</v>
      </c>
      <c r="W65" s="15">
        <v>2210000</v>
      </c>
      <c r="X65" s="15">
        <v>2950000</v>
      </c>
      <c r="Y65" s="15" t="s">
        <v>203</v>
      </c>
      <c r="Z65" s="15">
        <v>5900000</v>
      </c>
      <c r="AA65" s="15">
        <v>20800000</v>
      </c>
      <c r="AB65" s="15">
        <v>6250000</v>
      </c>
      <c r="AC65" s="15">
        <v>1960000</v>
      </c>
      <c r="AD65" s="15">
        <v>26400000</v>
      </c>
      <c r="AE65" s="15">
        <v>57000000</v>
      </c>
      <c r="AF65" s="15">
        <v>6250000</v>
      </c>
      <c r="AG65" s="15">
        <v>26400000</v>
      </c>
      <c r="AH65" s="15">
        <v>2100000</v>
      </c>
      <c r="AI65" s="17">
        <v>7961317</v>
      </c>
      <c r="AJ65" s="17">
        <v>7961317</v>
      </c>
      <c r="AK65" s="17">
        <v>7961317</v>
      </c>
      <c r="AL65" s="17">
        <v>7961317</v>
      </c>
      <c r="AM65" s="17">
        <v>26281292</v>
      </c>
      <c r="AN65" s="17">
        <v>26281292</v>
      </c>
      <c r="AO65" s="17">
        <v>26281292</v>
      </c>
      <c r="AP65" s="17">
        <v>26281292</v>
      </c>
      <c r="AQ65" s="17">
        <v>26281292</v>
      </c>
      <c r="AR65" s="17">
        <v>87847945</v>
      </c>
      <c r="AS65" s="17">
        <v>87847945</v>
      </c>
      <c r="AT65" s="17">
        <v>23743009</v>
      </c>
      <c r="AU65" s="17">
        <v>23743009</v>
      </c>
      <c r="AV65" s="17">
        <v>10514845</v>
      </c>
      <c r="AW65" s="17">
        <v>10514845</v>
      </c>
      <c r="AX65" s="17">
        <v>3639729</v>
      </c>
      <c r="AY65" s="17">
        <v>9858701</v>
      </c>
      <c r="AZ65" s="17">
        <v>33143242</v>
      </c>
      <c r="BA65" s="17">
        <v>3789449</v>
      </c>
      <c r="BB65" s="17">
        <v>2654537</v>
      </c>
      <c r="BC65" s="17">
        <v>3207397</v>
      </c>
      <c r="BD65" s="17">
        <v>1704795</v>
      </c>
      <c r="BE65" s="17">
        <v>2090963</v>
      </c>
      <c r="BF65" s="17">
        <v>9250345</v>
      </c>
      <c r="BG65" s="17">
        <v>7783890</v>
      </c>
      <c r="BH65" s="17">
        <v>6434358</v>
      </c>
      <c r="BI65" s="17">
        <v>10602600</v>
      </c>
      <c r="BJ65" s="17">
        <v>10602600</v>
      </c>
      <c r="BK65" s="17">
        <v>10602600</v>
      </c>
      <c r="BL65" s="17">
        <v>48450900</v>
      </c>
      <c r="BM65" s="17">
        <v>48450900</v>
      </c>
      <c r="BN65" s="17">
        <v>48450900</v>
      </c>
      <c r="BO65" s="17">
        <v>48450900</v>
      </c>
      <c r="BP65" s="17">
        <v>48450900</v>
      </c>
      <c r="BQ65" s="17">
        <v>48450900</v>
      </c>
      <c r="BR65" s="17">
        <v>1870550</v>
      </c>
      <c r="BS65" s="15">
        <v>10700000</v>
      </c>
      <c r="BT65" s="15">
        <v>10700000</v>
      </c>
      <c r="BU65" s="15">
        <v>10700000</v>
      </c>
      <c r="BV65" s="15">
        <v>10700000</v>
      </c>
      <c r="BW65" s="15">
        <v>10700000</v>
      </c>
      <c r="BX65" s="17">
        <v>1001898</v>
      </c>
      <c r="BY65" s="17">
        <v>1001898</v>
      </c>
      <c r="BZ65" s="17">
        <v>43266800</v>
      </c>
      <c r="CA65" s="17">
        <v>43266800</v>
      </c>
      <c r="CB65" s="17">
        <v>43266800</v>
      </c>
      <c r="CC65" s="17">
        <v>43266800</v>
      </c>
      <c r="CD65" s="17">
        <v>43266800</v>
      </c>
      <c r="CE65" s="17">
        <v>43266800</v>
      </c>
      <c r="CF65" s="17">
        <v>43266800</v>
      </c>
      <c r="CG65" s="17">
        <v>43266800</v>
      </c>
      <c r="CH65" s="15">
        <v>7970000</v>
      </c>
      <c r="CI65" s="15">
        <v>7970000</v>
      </c>
      <c r="CJ65" s="15">
        <v>7970000</v>
      </c>
      <c r="CK65" s="17">
        <v>48450900</v>
      </c>
      <c r="CL65" s="17">
        <v>10602600</v>
      </c>
      <c r="CM65" s="17">
        <v>10602600</v>
      </c>
      <c r="CN65" s="15">
        <v>10700000</v>
      </c>
      <c r="CO65" s="17">
        <v>26281292</v>
      </c>
      <c r="CP65" s="15">
        <v>10700000</v>
      </c>
      <c r="CQ65" s="15">
        <v>10700000</v>
      </c>
      <c r="CR65" s="17">
        <v>48450900</v>
      </c>
      <c r="CS65" s="17">
        <v>43266800</v>
      </c>
      <c r="CT65" s="15">
        <v>7970000</v>
      </c>
      <c r="CU65" s="17">
        <v>10602600</v>
      </c>
      <c r="CV65" s="17">
        <v>4955000</v>
      </c>
      <c r="CW65" s="17">
        <v>33780320</v>
      </c>
      <c r="CX65" s="17">
        <v>33780320</v>
      </c>
      <c r="CY65" s="17">
        <v>4955000</v>
      </c>
      <c r="CZ65" s="15">
        <v>2950000</v>
      </c>
    </row>
    <row r="66" spans="2:104" x14ac:dyDescent="0.25">
      <c r="B66" s="16" t="s">
        <v>201</v>
      </c>
      <c r="C66" s="15">
        <f>90500000*1000000</f>
        <v>90500000000000</v>
      </c>
      <c r="D66" s="15">
        <f>5640000*1000000</f>
        <v>5640000000000</v>
      </c>
      <c r="E66" s="15">
        <f>2100000*1000000</f>
        <v>2100000000000</v>
      </c>
      <c r="F66" s="15">
        <f>6320000*1000000</f>
        <v>6320000000000</v>
      </c>
      <c r="G66" s="15">
        <f>1610000*1000000</f>
        <v>1610000000000</v>
      </c>
      <c r="H66" s="15">
        <f>26400000*1000000</f>
        <v>26400000000000</v>
      </c>
      <c r="I66" s="15">
        <f>2490000*1000000</f>
        <v>2490000000000</v>
      </c>
      <c r="J66" s="15">
        <f>26400000*1000000</f>
        <v>26400000000000</v>
      </c>
      <c r="K66" s="15">
        <f>66300000*1000000</f>
        <v>66300000000000</v>
      </c>
      <c r="L66" s="15">
        <f>57000000*1000000</f>
        <v>57000000000000</v>
      </c>
      <c r="M66" s="15">
        <f>7970000*1000000</f>
        <v>7970000000000</v>
      </c>
      <c r="N66" s="15">
        <f>10700000*1000000</f>
        <v>10700000000000</v>
      </c>
      <c r="O66" s="15">
        <f>530000*1000000</f>
        <v>530000000000</v>
      </c>
      <c r="P66" s="15">
        <f>2590000*1000000</f>
        <v>2590000000000</v>
      </c>
      <c r="Q66" s="15">
        <f>6700000*1000000</f>
        <v>6700000000000</v>
      </c>
      <c r="R66" s="15">
        <f>11900000*1000000</f>
        <v>11900000000000</v>
      </c>
      <c r="S66" s="15">
        <f>2960000*1000000</f>
        <v>2960000000000</v>
      </c>
      <c r="T66" s="15">
        <f>2210000*1000000</f>
        <v>2210000000000</v>
      </c>
      <c r="U66" s="15">
        <f>3760000*1000000</f>
        <v>3760000000000</v>
      </c>
      <c r="V66" s="15">
        <f>4540000*1000000</f>
        <v>4540000000000</v>
      </c>
      <c r="W66" s="15">
        <f>2210000*1000000</f>
        <v>2210000000000</v>
      </c>
      <c r="X66" s="15">
        <f>2950000*1000000</f>
        <v>2950000000000</v>
      </c>
      <c r="Y66" s="15">
        <f>1750000*1000000</f>
        <v>1750000000000</v>
      </c>
      <c r="Z66" s="15">
        <f>5900000*1000000</f>
        <v>5900000000000</v>
      </c>
      <c r="AA66" s="15">
        <f>20800000*1000000</f>
        <v>20800000000000</v>
      </c>
      <c r="AB66" s="15">
        <f>6250000*1000000</f>
        <v>6250000000000</v>
      </c>
      <c r="AC66" s="15">
        <f>1960000*1000000</f>
        <v>1960000000000</v>
      </c>
      <c r="AD66" s="15">
        <f>26400000*1000000</f>
        <v>26400000000000</v>
      </c>
      <c r="AE66" s="15">
        <f>57000000*1000000</f>
        <v>57000000000000</v>
      </c>
      <c r="AF66" s="15">
        <f>6250000*1000000</f>
        <v>6250000000000</v>
      </c>
      <c r="AG66" s="17">
        <f>AG65*1000000</f>
        <v>26400000000000</v>
      </c>
      <c r="AH66" s="17">
        <f t="shared" ref="AH66:CS66" si="0">AH65*1000000</f>
        <v>2100000000000</v>
      </c>
      <c r="AI66" s="17">
        <f t="shared" si="0"/>
        <v>7961317000000</v>
      </c>
      <c r="AJ66" s="17">
        <f t="shared" si="0"/>
        <v>7961317000000</v>
      </c>
      <c r="AK66" s="17">
        <f t="shared" si="0"/>
        <v>7961317000000</v>
      </c>
      <c r="AL66" s="17">
        <f t="shared" si="0"/>
        <v>7961317000000</v>
      </c>
      <c r="AM66" s="17">
        <f t="shared" si="0"/>
        <v>26281292000000</v>
      </c>
      <c r="AN66" s="17">
        <f t="shared" si="0"/>
        <v>26281292000000</v>
      </c>
      <c r="AO66" s="17">
        <f t="shared" si="0"/>
        <v>26281292000000</v>
      </c>
      <c r="AP66" s="17">
        <f t="shared" si="0"/>
        <v>26281292000000</v>
      </c>
      <c r="AQ66" s="17">
        <f t="shared" si="0"/>
        <v>26281292000000</v>
      </c>
      <c r="AR66" s="17">
        <f t="shared" si="0"/>
        <v>87847945000000</v>
      </c>
      <c r="AS66" s="17">
        <f t="shared" si="0"/>
        <v>87847945000000</v>
      </c>
      <c r="AT66" s="17">
        <f t="shared" si="0"/>
        <v>23743009000000</v>
      </c>
      <c r="AU66" s="17">
        <f t="shared" si="0"/>
        <v>23743009000000</v>
      </c>
      <c r="AV66" s="17">
        <f t="shared" si="0"/>
        <v>10514845000000</v>
      </c>
      <c r="AW66" s="17">
        <f t="shared" si="0"/>
        <v>10514845000000</v>
      </c>
      <c r="AX66" s="17">
        <f t="shared" si="0"/>
        <v>3639729000000</v>
      </c>
      <c r="AY66" s="17">
        <f t="shared" si="0"/>
        <v>9858701000000</v>
      </c>
      <c r="AZ66" s="17">
        <f t="shared" si="0"/>
        <v>33143242000000</v>
      </c>
      <c r="BA66" s="17">
        <f t="shared" si="0"/>
        <v>3789449000000</v>
      </c>
      <c r="BB66" s="17">
        <f t="shared" si="0"/>
        <v>2654537000000</v>
      </c>
      <c r="BC66" s="17">
        <f t="shared" si="0"/>
        <v>3207397000000</v>
      </c>
      <c r="BD66" s="17">
        <f t="shared" si="0"/>
        <v>1704795000000</v>
      </c>
      <c r="BE66" s="17">
        <f t="shared" si="0"/>
        <v>2090963000000</v>
      </c>
      <c r="BF66" s="17">
        <f t="shared" si="0"/>
        <v>9250345000000</v>
      </c>
      <c r="BG66" s="17">
        <f t="shared" si="0"/>
        <v>7783890000000</v>
      </c>
      <c r="BH66" s="17">
        <f t="shared" si="0"/>
        <v>6434358000000</v>
      </c>
      <c r="BI66" s="17">
        <f t="shared" si="0"/>
        <v>10602600000000</v>
      </c>
      <c r="BJ66" s="17">
        <f t="shared" si="0"/>
        <v>10602600000000</v>
      </c>
      <c r="BK66" s="17">
        <f t="shared" si="0"/>
        <v>10602600000000</v>
      </c>
      <c r="BL66" s="17">
        <f t="shared" si="0"/>
        <v>48450900000000</v>
      </c>
      <c r="BM66" s="17">
        <f t="shared" si="0"/>
        <v>48450900000000</v>
      </c>
      <c r="BN66" s="17">
        <f t="shared" si="0"/>
        <v>48450900000000</v>
      </c>
      <c r="BO66" s="17">
        <f t="shared" si="0"/>
        <v>48450900000000</v>
      </c>
      <c r="BP66" s="17">
        <f t="shared" si="0"/>
        <v>48450900000000</v>
      </c>
      <c r="BQ66" s="17">
        <f t="shared" si="0"/>
        <v>48450900000000</v>
      </c>
      <c r="BR66" s="17">
        <f t="shared" si="0"/>
        <v>1870550000000</v>
      </c>
      <c r="BS66" s="17">
        <f t="shared" si="0"/>
        <v>10700000000000</v>
      </c>
      <c r="BT66" s="17">
        <f t="shared" si="0"/>
        <v>10700000000000</v>
      </c>
      <c r="BU66" s="17">
        <f t="shared" si="0"/>
        <v>10700000000000</v>
      </c>
      <c r="BV66" s="17">
        <f t="shared" si="0"/>
        <v>10700000000000</v>
      </c>
      <c r="BW66" s="17">
        <f t="shared" si="0"/>
        <v>10700000000000</v>
      </c>
      <c r="BX66" s="17">
        <f t="shared" si="0"/>
        <v>1001898000000</v>
      </c>
      <c r="BY66" s="17">
        <f t="shared" si="0"/>
        <v>1001898000000</v>
      </c>
      <c r="BZ66" s="17">
        <f t="shared" si="0"/>
        <v>43266800000000</v>
      </c>
      <c r="CA66" s="17">
        <f t="shared" si="0"/>
        <v>43266800000000</v>
      </c>
      <c r="CB66" s="17">
        <f t="shared" si="0"/>
        <v>43266800000000</v>
      </c>
      <c r="CC66" s="17">
        <f t="shared" si="0"/>
        <v>43266800000000</v>
      </c>
      <c r="CD66" s="17">
        <f t="shared" si="0"/>
        <v>43266800000000</v>
      </c>
      <c r="CE66" s="17">
        <f t="shared" si="0"/>
        <v>43266800000000</v>
      </c>
      <c r="CF66" s="17">
        <f t="shared" si="0"/>
        <v>43266800000000</v>
      </c>
      <c r="CG66" s="17">
        <f t="shared" si="0"/>
        <v>43266800000000</v>
      </c>
      <c r="CH66" s="17">
        <f t="shared" si="0"/>
        <v>7970000000000</v>
      </c>
      <c r="CI66" s="17">
        <f t="shared" si="0"/>
        <v>7970000000000</v>
      </c>
      <c r="CJ66" s="17">
        <f t="shared" si="0"/>
        <v>7970000000000</v>
      </c>
      <c r="CK66" s="17">
        <f t="shared" si="0"/>
        <v>48450900000000</v>
      </c>
      <c r="CL66" s="17">
        <f t="shared" si="0"/>
        <v>10602600000000</v>
      </c>
      <c r="CM66" s="17">
        <f t="shared" si="0"/>
        <v>10602600000000</v>
      </c>
      <c r="CN66" s="17">
        <f t="shared" si="0"/>
        <v>10700000000000</v>
      </c>
      <c r="CO66" s="17">
        <f t="shared" si="0"/>
        <v>26281292000000</v>
      </c>
      <c r="CP66" s="17">
        <f t="shared" si="0"/>
        <v>10700000000000</v>
      </c>
      <c r="CQ66" s="17">
        <f t="shared" si="0"/>
        <v>10700000000000</v>
      </c>
      <c r="CR66" s="17">
        <f t="shared" si="0"/>
        <v>48450900000000</v>
      </c>
      <c r="CS66" s="17">
        <f t="shared" si="0"/>
        <v>43266800000000</v>
      </c>
      <c r="CT66" s="17">
        <f t="shared" ref="CT66:CZ66" si="1">CT65*1000000</f>
        <v>7970000000000</v>
      </c>
      <c r="CU66" s="17">
        <f t="shared" si="1"/>
        <v>10602600000000</v>
      </c>
      <c r="CV66" s="17">
        <f t="shared" si="1"/>
        <v>4955000000000</v>
      </c>
      <c r="CW66" s="17">
        <f t="shared" si="1"/>
        <v>33780320000000</v>
      </c>
      <c r="CX66" s="17">
        <f t="shared" si="1"/>
        <v>33780320000000</v>
      </c>
      <c r="CY66" s="17">
        <f t="shared" si="1"/>
        <v>4955000000000</v>
      </c>
      <c r="CZ66" s="17">
        <f t="shared" si="1"/>
        <v>2950000000000</v>
      </c>
    </row>
    <row r="67" spans="2:104" x14ac:dyDescent="0.25">
      <c r="B67" s="5" t="s">
        <v>205</v>
      </c>
      <c r="C67" s="18">
        <f>SUM(C6:C64)</f>
        <v>1722.2550000000003</v>
      </c>
      <c r="D67" s="18">
        <f t="shared" ref="D67:BO67" si="2">SUM(D6:D64)</f>
        <v>162.50000000000006</v>
      </c>
      <c r="E67" s="18">
        <f t="shared" si="2"/>
        <v>43.442999999999998</v>
      </c>
      <c r="F67" s="18">
        <f t="shared" si="2"/>
        <v>221.08799999999999</v>
      </c>
      <c r="G67" s="18">
        <f t="shared" si="2"/>
        <v>14.215999999999999</v>
      </c>
      <c r="H67" s="18">
        <f t="shared" si="2"/>
        <v>340.86500000000001</v>
      </c>
      <c r="I67" s="18">
        <f t="shared" si="2"/>
        <v>487.22699999999998</v>
      </c>
      <c r="J67" s="18">
        <f t="shared" si="2"/>
        <v>554.16699999999992</v>
      </c>
      <c r="K67" s="18">
        <f t="shared" si="2"/>
        <v>1270.6209999999999</v>
      </c>
      <c r="L67" s="18">
        <f t="shared" si="2"/>
        <v>1370.6419999999998</v>
      </c>
      <c r="M67" s="18">
        <f t="shared" si="2"/>
        <v>122.21900000000001</v>
      </c>
      <c r="N67" s="18">
        <f t="shared" si="2"/>
        <v>125.108</v>
      </c>
      <c r="O67" s="18">
        <f t="shared" si="2"/>
        <v>21.066000000000006</v>
      </c>
      <c r="P67" s="18">
        <f t="shared" si="2"/>
        <v>10.845000000000004</v>
      </c>
      <c r="Q67" s="18">
        <f t="shared" si="2"/>
        <v>84.889999999999986</v>
      </c>
      <c r="R67" s="18">
        <f t="shared" si="2"/>
        <v>122.92400000000004</v>
      </c>
      <c r="S67" s="18">
        <f t="shared" si="2"/>
        <v>19.066000000000003</v>
      </c>
      <c r="T67" s="18">
        <f t="shared" si="2"/>
        <v>93.617000000000004</v>
      </c>
      <c r="U67" s="18">
        <f t="shared" si="2"/>
        <v>119.77300000000001</v>
      </c>
      <c r="V67" s="18">
        <f t="shared" si="2"/>
        <v>93.282999999999987</v>
      </c>
      <c r="W67" s="18">
        <f t="shared" si="2"/>
        <v>93.344000000000023</v>
      </c>
      <c r="X67" s="18">
        <f t="shared" si="2"/>
        <v>24.63</v>
      </c>
      <c r="Y67" s="18">
        <f t="shared" si="2"/>
        <v>31.91500000000001</v>
      </c>
      <c r="Z67" s="18">
        <f t="shared" si="2"/>
        <v>157.82599999999999</v>
      </c>
      <c r="AA67" s="18">
        <f t="shared" si="2"/>
        <v>249.965</v>
      </c>
      <c r="AB67" s="18">
        <f t="shared" si="2"/>
        <v>386.43499999999995</v>
      </c>
      <c r="AC67" s="18">
        <f t="shared" si="2"/>
        <v>20.139000000000003</v>
      </c>
      <c r="AD67" s="18">
        <f t="shared" si="2"/>
        <v>211.06299999999999</v>
      </c>
      <c r="AE67" s="18">
        <f t="shared" si="2"/>
        <v>765.47799999999995</v>
      </c>
      <c r="AF67" s="18">
        <f t="shared" si="2"/>
        <v>282.77200000000005</v>
      </c>
      <c r="AG67" s="18">
        <f t="shared" si="2"/>
        <v>323.30600000000004</v>
      </c>
      <c r="AH67" s="18">
        <f t="shared" si="2"/>
        <v>40.528000000000006</v>
      </c>
      <c r="AI67" s="18">
        <f t="shared" si="2"/>
        <v>239.06800000000004</v>
      </c>
      <c r="AJ67" s="18">
        <f t="shared" si="2"/>
        <v>179.35000000000005</v>
      </c>
      <c r="AK67" s="18">
        <f t="shared" si="2"/>
        <v>61.647999999999996</v>
      </c>
      <c r="AL67" s="18">
        <f t="shared" si="2"/>
        <v>61.647999999999996</v>
      </c>
      <c r="AM67" s="18">
        <f t="shared" si="2"/>
        <v>394.28999999999996</v>
      </c>
      <c r="AN67" s="18">
        <f t="shared" si="2"/>
        <v>191.24599999999998</v>
      </c>
      <c r="AO67" s="18">
        <f t="shared" si="2"/>
        <v>356.51300000000003</v>
      </c>
      <c r="AP67" s="18">
        <f t="shared" si="2"/>
        <v>507.58500000000004</v>
      </c>
      <c r="AQ67" s="18">
        <f t="shared" si="2"/>
        <v>605.79200000000014</v>
      </c>
      <c r="AR67" s="18">
        <f t="shared" si="2"/>
        <v>664.74399999999991</v>
      </c>
      <c r="AS67" s="18">
        <f t="shared" si="2"/>
        <v>943.08199999999999</v>
      </c>
      <c r="AT67" s="18">
        <f t="shared" si="2"/>
        <v>415.67299999999983</v>
      </c>
      <c r="AU67" s="18">
        <f t="shared" si="2"/>
        <v>320.81700000000001</v>
      </c>
      <c r="AV67" s="18">
        <f t="shared" si="2"/>
        <v>213.60399999999996</v>
      </c>
      <c r="AW67" s="18">
        <f t="shared" si="2"/>
        <v>165.21600000000004</v>
      </c>
      <c r="AX67" s="18">
        <f t="shared" si="2"/>
        <v>15.056999999999999</v>
      </c>
      <c r="AY67" s="18">
        <f t="shared" si="2"/>
        <v>73.555999999999997</v>
      </c>
      <c r="AZ67" s="18">
        <f t="shared" si="2"/>
        <v>430.16299999999978</v>
      </c>
      <c r="BA67" s="18">
        <f t="shared" si="2"/>
        <v>44.376999999999988</v>
      </c>
      <c r="BB67" s="18">
        <f t="shared" si="2"/>
        <v>37.47</v>
      </c>
      <c r="BC67" s="18">
        <f t="shared" si="2"/>
        <v>49.155999999999999</v>
      </c>
      <c r="BD67" s="18">
        <f t="shared" si="2"/>
        <v>13.587999999999996</v>
      </c>
      <c r="BE67" s="18">
        <f t="shared" si="2"/>
        <v>44.964000000000006</v>
      </c>
      <c r="BF67" s="18">
        <f t="shared" si="2"/>
        <v>84.802999999999997</v>
      </c>
      <c r="BG67" s="18">
        <f t="shared" si="2"/>
        <v>117.73699999999999</v>
      </c>
      <c r="BH67" s="18">
        <f t="shared" si="2"/>
        <v>102.371</v>
      </c>
      <c r="BI67" s="18">
        <f t="shared" si="2"/>
        <v>177.11300000000003</v>
      </c>
      <c r="BJ67" s="18">
        <f t="shared" si="2"/>
        <v>107.29600000000001</v>
      </c>
      <c r="BK67" s="18">
        <f t="shared" si="2"/>
        <v>144.02000000000004</v>
      </c>
      <c r="BL67" s="18">
        <f t="shared" si="2"/>
        <v>309.12000000000006</v>
      </c>
      <c r="BM67" s="18">
        <f t="shared" si="2"/>
        <v>499.55700000000002</v>
      </c>
      <c r="BN67" s="18">
        <f t="shared" si="2"/>
        <v>781.41499999999996</v>
      </c>
      <c r="BO67" s="18">
        <f t="shared" si="2"/>
        <v>459.30799999999999</v>
      </c>
      <c r="BP67" s="18">
        <f t="shared" ref="BP67:CZ67" si="3">SUM(BP6:BP64)</f>
        <v>628.03499999999974</v>
      </c>
      <c r="BQ67" s="18">
        <f t="shared" si="3"/>
        <v>743.05499999999995</v>
      </c>
      <c r="BR67" s="18">
        <f t="shared" si="3"/>
        <v>45.02000000000001</v>
      </c>
      <c r="BS67" s="18">
        <f t="shared" si="3"/>
        <v>152.67499999999998</v>
      </c>
      <c r="BT67" s="18">
        <f t="shared" si="3"/>
        <v>152.63399999999999</v>
      </c>
      <c r="BU67" s="18">
        <f t="shared" si="3"/>
        <v>96.00800000000001</v>
      </c>
      <c r="BV67" s="18">
        <f t="shared" si="3"/>
        <v>114.64299999999997</v>
      </c>
      <c r="BW67" s="18">
        <f t="shared" si="3"/>
        <v>167.15</v>
      </c>
      <c r="BX67" s="18">
        <f t="shared" si="3"/>
        <v>23.490000000000006</v>
      </c>
      <c r="BY67" s="18">
        <f t="shared" si="3"/>
        <v>16.217999999999996</v>
      </c>
      <c r="BZ67" s="18">
        <f t="shared" si="3"/>
        <v>295.97500000000002</v>
      </c>
      <c r="CA67" s="18">
        <f t="shared" si="3"/>
        <v>664.97399999999993</v>
      </c>
      <c r="CB67" s="18">
        <f t="shared" si="3"/>
        <v>482.72900000000004</v>
      </c>
      <c r="CC67" s="18">
        <f t="shared" si="3"/>
        <v>242.827</v>
      </c>
      <c r="CD67" s="18">
        <f t="shared" si="3"/>
        <v>789.20800000000008</v>
      </c>
      <c r="CE67" s="18">
        <f t="shared" si="3"/>
        <v>614.37199999999996</v>
      </c>
      <c r="CF67" s="18">
        <f t="shared" si="3"/>
        <v>670.18700000000013</v>
      </c>
      <c r="CG67" s="18">
        <f t="shared" si="3"/>
        <v>861.57799999999986</v>
      </c>
      <c r="CH67" s="18">
        <f t="shared" si="3"/>
        <v>147.82900000000004</v>
      </c>
      <c r="CI67" s="18">
        <f t="shared" si="3"/>
        <v>111.45400000000002</v>
      </c>
      <c r="CJ67" s="18">
        <f t="shared" si="3"/>
        <v>72.406999999999996</v>
      </c>
      <c r="CK67" s="18">
        <f t="shared" si="3"/>
        <v>525.80700000000013</v>
      </c>
      <c r="CL67" s="18">
        <f t="shared" si="3"/>
        <v>167.17099999999999</v>
      </c>
      <c r="CM67" s="18">
        <f t="shared" si="3"/>
        <v>180.26199999999997</v>
      </c>
      <c r="CN67" s="18">
        <f t="shared" si="3"/>
        <v>126.75700000000002</v>
      </c>
      <c r="CO67" s="18">
        <f t="shared" si="3"/>
        <v>234.95300000000003</v>
      </c>
      <c r="CP67" s="18">
        <f t="shared" si="3"/>
        <v>142.32599999999999</v>
      </c>
      <c r="CQ67" s="18">
        <f t="shared" si="3"/>
        <v>109.28699999999996</v>
      </c>
      <c r="CR67" s="18">
        <f t="shared" si="3"/>
        <v>733.03200000000015</v>
      </c>
      <c r="CS67" s="18">
        <f t="shared" si="3"/>
        <v>352.15000000000009</v>
      </c>
      <c r="CT67" s="18">
        <f t="shared" si="3"/>
        <v>119.75699999999999</v>
      </c>
      <c r="CU67" s="18">
        <f t="shared" si="3"/>
        <v>105.55500000000001</v>
      </c>
      <c r="CV67" s="18">
        <f t="shared" si="3"/>
        <v>34.889000000000003</v>
      </c>
      <c r="CW67" s="18">
        <f t="shared" si="3"/>
        <v>247.42600000000002</v>
      </c>
      <c r="CX67" s="18">
        <f t="shared" si="3"/>
        <v>664.47699999999986</v>
      </c>
      <c r="CY67" s="18">
        <f t="shared" si="3"/>
        <v>63.615000000000023</v>
      </c>
      <c r="CZ67" s="18">
        <f t="shared" si="3"/>
        <v>38.666000000000004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Y96"/>
  <sheetViews>
    <sheetView tabSelected="1" zoomScaleNormal="100" workbookViewId="0">
      <pane ySplit="1" topLeftCell="A92" activePane="bottomLeft" state="frozen"/>
      <selection pane="bottomLeft" activeCell="A96" sqref="A96"/>
    </sheetView>
  </sheetViews>
  <sheetFormatPr baseColWidth="10" defaultRowHeight="15" x14ac:dyDescent="0.25"/>
  <cols>
    <col min="1" max="1" width="28.140625" customWidth="1"/>
    <col min="2" max="2" width="13.140625" customWidth="1"/>
    <col min="3" max="4" width="12.7109375" customWidth="1"/>
    <col min="5" max="5" width="13.7109375" customWidth="1"/>
    <col min="6" max="6" width="14.5703125" customWidth="1"/>
    <col min="7" max="7" width="14.42578125" customWidth="1"/>
    <col min="8" max="8" width="13.28515625" customWidth="1"/>
    <col min="9" max="9" width="14.140625" customWidth="1"/>
    <col min="10" max="10" width="13.28515625" customWidth="1"/>
    <col min="11" max="11" width="12.5703125" customWidth="1"/>
    <col min="12" max="12" width="13.5703125" customWidth="1"/>
    <col min="14" max="14" width="11.7109375" customWidth="1"/>
  </cols>
  <sheetData>
    <row r="1" spans="1:103" ht="33.75" x14ac:dyDescent="0.25">
      <c r="A1" s="1" t="s">
        <v>0</v>
      </c>
      <c r="B1" s="4" t="s">
        <v>1</v>
      </c>
      <c r="C1" s="1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129</v>
      </c>
      <c r="AG1" s="4" t="s">
        <v>130</v>
      </c>
      <c r="AH1" s="4" t="s">
        <v>131</v>
      </c>
      <c r="AI1" s="4" t="s">
        <v>132</v>
      </c>
      <c r="AJ1" s="4" t="s">
        <v>133</v>
      </c>
      <c r="AK1" s="4" t="s">
        <v>134</v>
      </c>
      <c r="AL1" s="4" t="s">
        <v>135</v>
      </c>
      <c r="AM1" s="4" t="s">
        <v>136</v>
      </c>
      <c r="AN1" s="4" t="s">
        <v>138</v>
      </c>
      <c r="AO1" s="4" t="s">
        <v>139</v>
      </c>
      <c r="AP1" s="4" t="s">
        <v>140</v>
      </c>
      <c r="AQ1" s="4" t="s">
        <v>141</v>
      </c>
      <c r="AR1" s="4" t="s">
        <v>142</v>
      </c>
      <c r="AS1" s="4" t="s">
        <v>143</v>
      </c>
      <c r="AT1" s="4" t="s">
        <v>144</v>
      </c>
      <c r="AU1" s="4" t="s">
        <v>145</v>
      </c>
      <c r="AV1" s="4" t="s">
        <v>146</v>
      </c>
      <c r="AW1" s="4" t="s">
        <v>147</v>
      </c>
      <c r="AX1" s="4" t="s">
        <v>148</v>
      </c>
      <c r="AY1" s="4" t="s">
        <v>149</v>
      </c>
      <c r="AZ1" s="4" t="s">
        <v>150</v>
      </c>
      <c r="BA1" s="4" t="s">
        <v>151</v>
      </c>
      <c r="BB1" s="4" t="s">
        <v>152</v>
      </c>
      <c r="BC1" s="4" t="s">
        <v>153</v>
      </c>
      <c r="BD1" s="4" t="s">
        <v>154</v>
      </c>
      <c r="BE1" s="4" t="s">
        <v>155</v>
      </c>
      <c r="BF1" s="4" t="s">
        <v>156</v>
      </c>
      <c r="BG1" s="4" t="s">
        <v>157</v>
      </c>
      <c r="BH1" s="4" t="s">
        <v>158</v>
      </c>
      <c r="BI1" s="4" t="s">
        <v>159</v>
      </c>
      <c r="BJ1" s="4" t="s">
        <v>160</v>
      </c>
      <c r="BK1" s="4" t="s">
        <v>161</v>
      </c>
      <c r="BL1" s="4" t="s">
        <v>162</v>
      </c>
      <c r="BM1" s="4" t="s">
        <v>163</v>
      </c>
      <c r="BN1" s="4" t="s">
        <v>164</v>
      </c>
      <c r="BO1" s="4" t="s">
        <v>165</v>
      </c>
      <c r="BP1" s="4" t="s">
        <v>166</v>
      </c>
      <c r="BQ1" s="4" t="s">
        <v>167</v>
      </c>
      <c r="BR1" s="3" t="s">
        <v>168</v>
      </c>
      <c r="BS1" s="3" t="s">
        <v>169</v>
      </c>
      <c r="BT1" s="3" t="s">
        <v>170</v>
      </c>
      <c r="BU1" s="3" t="s">
        <v>171</v>
      </c>
      <c r="BV1" s="3" t="s">
        <v>172</v>
      </c>
      <c r="BW1" s="4" t="s">
        <v>173</v>
      </c>
      <c r="BX1" s="4" t="s">
        <v>174</v>
      </c>
      <c r="BY1" s="4" t="s">
        <v>175</v>
      </c>
      <c r="BZ1" s="4" t="s">
        <v>176</v>
      </c>
      <c r="CA1" s="4" t="s">
        <v>177</v>
      </c>
      <c r="CB1" s="4" t="s">
        <v>178</v>
      </c>
      <c r="CC1" s="4" t="s">
        <v>179</v>
      </c>
      <c r="CD1" s="4" t="s">
        <v>180</v>
      </c>
      <c r="CE1" s="4" t="s">
        <v>181</v>
      </c>
      <c r="CF1" s="4" t="s">
        <v>182</v>
      </c>
      <c r="CG1" s="3" t="s">
        <v>183</v>
      </c>
      <c r="CH1" s="3" t="s">
        <v>184</v>
      </c>
      <c r="CI1" s="3" t="s">
        <v>185</v>
      </c>
      <c r="CJ1" s="4" t="s">
        <v>186</v>
      </c>
      <c r="CK1" s="4" t="s">
        <v>187</v>
      </c>
      <c r="CL1" s="4" t="s">
        <v>188</v>
      </c>
      <c r="CM1" s="3" t="s">
        <v>189</v>
      </c>
      <c r="CN1" s="4" t="s">
        <v>190</v>
      </c>
      <c r="CO1" s="3" t="s">
        <v>191</v>
      </c>
      <c r="CP1" s="3" t="s">
        <v>192</v>
      </c>
      <c r="CQ1" s="4" t="s">
        <v>193</v>
      </c>
      <c r="CR1" s="4" t="s">
        <v>194</v>
      </c>
      <c r="CS1" s="3" t="s">
        <v>195</v>
      </c>
      <c r="CT1" s="4" t="s">
        <v>196</v>
      </c>
      <c r="CU1" s="4" t="s">
        <v>197</v>
      </c>
      <c r="CV1" s="4" t="s">
        <v>198</v>
      </c>
      <c r="CW1" s="4" t="s">
        <v>199</v>
      </c>
      <c r="CX1" s="4" t="s">
        <v>200</v>
      </c>
      <c r="CY1" s="4" t="s">
        <v>137</v>
      </c>
    </row>
    <row r="2" spans="1:103" ht="22.5" x14ac:dyDescent="0.25">
      <c r="A2" s="1" t="s">
        <v>31</v>
      </c>
      <c r="B2" s="5" t="s">
        <v>32</v>
      </c>
      <c r="C2" s="5" t="s">
        <v>33</v>
      </c>
      <c r="D2" s="5" t="s">
        <v>34</v>
      </c>
      <c r="E2" s="6">
        <v>40420</v>
      </c>
      <c r="F2" s="6">
        <v>41351</v>
      </c>
      <c r="G2" s="6">
        <v>43146</v>
      </c>
      <c r="H2" s="8">
        <v>43223</v>
      </c>
      <c r="I2" s="14">
        <v>43227</v>
      </c>
      <c r="J2" s="7">
        <v>43358</v>
      </c>
      <c r="K2" s="8">
        <v>43573</v>
      </c>
      <c r="L2" s="8">
        <v>37418</v>
      </c>
      <c r="M2" s="8">
        <v>37417</v>
      </c>
      <c r="N2" s="12" t="s">
        <v>35</v>
      </c>
      <c r="O2" s="9" t="s">
        <v>36</v>
      </c>
      <c r="P2" s="8">
        <v>39671</v>
      </c>
      <c r="Q2" s="8">
        <v>40755</v>
      </c>
      <c r="R2" s="9" t="s">
        <v>37</v>
      </c>
      <c r="S2" s="8">
        <v>34902</v>
      </c>
      <c r="T2" s="8">
        <v>35278</v>
      </c>
      <c r="U2" s="8">
        <v>35302</v>
      </c>
      <c r="V2" s="8">
        <v>36044</v>
      </c>
      <c r="W2" s="8">
        <v>37370</v>
      </c>
      <c r="X2" s="8">
        <v>42894</v>
      </c>
      <c r="Y2" s="8">
        <v>43254</v>
      </c>
      <c r="Z2" s="8">
        <v>35329</v>
      </c>
      <c r="AA2" s="8">
        <v>35955</v>
      </c>
      <c r="AB2" s="8">
        <v>38804</v>
      </c>
      <c r="AC2" s="8">
        <v>42104</v>
      </c>
      <c r="AD2" s="8">
        <v>42142</v>
      </c>
      <c r="AE2" s="8">
        <v>43363</v>
      </c>
      <c r="AF2" s="8">
        <v>43569</v>
      </c>
      <c r="AG2" s="8">
        <v>40330</v>
      </c>
      <c r="AH2" s="6">
        <v>40697</v>
      </c>
      <c r="AI2" s="6">
        <v>40354</v>
      </c>
      <c r="AJ2" s="6">
        <v>42096</v>
      </c>
      <c r="AK2" s="6">
        <v>42097</v>
      </c>
      <c r="AL2" s="8">
        <v>34085</v>
      </c>
      <c r="AM2" s="8">
        <v>37332</v>
      </c>
      <c r="AN2" s="8">
        <v>38803</v>
      </c>
      <c r="AO2" s="8">
        <v>39944</v>
      </c>
      <c r="AP2" s="8">
        <v>40365</v>
      </c>
      <c r="AQ2" s="8">
        <v>41918</v>
      </c>
      <c r="AR2" s="8">
        <v>39974</v>
      </c>
      <c r="AS2" s="8">
        <v>39986</v>
      </c>
      <c r="AT2" s="8">
        <v>37385</v>
      </c>
      <c r="AU2" s="8">
        <v>35368</v>
      </c>
      <c r="AV2" s="8">
        <v>35321</v>
      </c>
      <c r="AW2" s="8">
        <v>31993</v>
      </c>
      <c r="AX2" s="8">
        <v>39940</v>
      </c>
      <c r="AY2" s="8">
        <v>38845</v>
      </c>
      <c r="AZ2" s="8">
        <v>41511</v>
      </c>
      <c r="BA2" s="8">
        <v>38797</v>
      </c>
      <c r="BB2" s="8">
        <v>38798</v>
      </c>
      <c r="BC2" s="8">
        <v>39898</v>
      </c>
      <c r="BD2" s="8">
        <v>39940</v>
      </c>
      <c r="BE2" s="8">
        <v>36218</v>
      </c>
      <c r="BF2" s="8">
        <v>39373</v>
      </c>
      <c r="BG2" s="8">
        <v>32469</v>
      </c>
      <c r="BH2" s="8">
        <v>30977</v>
      </c>
      <c r="BI2" s="8">
        <v>40105</v>
      </c>
      <c r="BJ2" s="8">
        <v>40133</v>
      </c>
      <c r="BK2" s="8">
        <v>39894</v>
      </c>
      <c r="BL2" s="8">
        <v>39914</v>
      </c>
      <c r="BM2" s="8">
        <v>39775</v>
      </c>
      <c r="BN2" s="8">
        <v>30582</v>
      </c>
      <c r="BO2" s="8">
        <v>31709</v>
      </c>
      <c r="BP2" s="8">
        <v>39409</v>
      </c>
      <c r="BQ2" s="8">
        <v>39609</v>
      </c>
      <c r="BR2" s="8">
        <v>40352</v>
      </c>
      <c r="BS2" s="8">
        <v>40356</v>
      </c>
      <c r="BT2" s="8">
        <v>30589</v>
      </c>
      <c r="BU2" s="8">
        <v>40133</v>
      </c>
      <c r="BV2" s="8">
        <v>40494</v>
      </c>
      <c r="BW2" s="8">
        <v>36293</v>
      </c>
      <c r="BX2" s="8">
        <v>31912</v>
      </c>
      <c r="BY2" s="8">
        <v>30740</v>
      </c>
      <c r="BZ2" s="8">
        <v>39684</v>
      </c>
      <c r="CA2" s="8">
        <v>35310</v>
      </c>
      <c r="CB2" s="8">
        <v>30795</v>
      </c>
      <c r="CC2" s="8">
        <v>39390</v>
      </c>
      <c r="CD2" s="8">
        <v>42679</v>
      </c>
      <c r="CE2" s="8">
        <v>30977</v>
      </c>
      <c r="CF2" s="8">
        <v>40512</v>
      </c>
      <c r="CG2" s="8">
        <v>40490</v>
      </c>
      <c r="CH2" s="8">
        <v>39686</v>
      </c>
      <c r="CI2" s="8">
        <v>39904</v>
      </c>
      <c r="CJ2" s="8">
        <v>32339</v>
      </c>
      <c r="CK2" s="8">
        <v>32401</v>
      </c>
      <c r="CL2" s="8">
        <v>32469</v>
      </c>
      <c r="CM2" s="8">
        <v>39348</v>
      </c>
      <c r="CN2" s="8">
        <v>42105</v>
      </c>
      <c r="CO2" s="8">
        <v>30075</v>
      </c>
      <c r="CP2" s="8">
        <v>31918</v>
      </c>
      <c r="CQ2" s="8">
        <v>43611</v>
      </c>
      <c r="CR2" s="8">
        <v>43561</v>
      </c>
      <c r="CS2" s="8">
        <v>43235</v>
      </c>
      <c r="CT2" s="8">
        <v>42833</v>
      </c>
      <c r="CU2" s="8">
        <v>43370</v>
      </c>
      <c r="CV2" s="8">
        <v>32248</v>
      </c>
      <c r="CW2" s="8">
        <v>43236</v>
      </c>
      <c r="CX2" s="8">
        <v>43611</v>
      </c>
      <c r="CY2" s="8">
        <v>37385</v>
      </c>
    </row>
    <row r="3" spans="1:103" x14ac:dyDescent="0.25">
      <c r="A3" s="5" t="s">
        <v>127</v>
      </c>
      <c r="B3" s="10">
        <v>52.642000000000003</v>
      </c>
      <c r="C3" s="10">
        <v>2.4809999999999999</v>
      </c>
      <c r="D3" s="10">
        <v>1.7969999999999999</v>
      </c>
      <c r="E3" s="10">
        <v>3.129</v>
      </c>
      <c r="F3" s="10">
        <v>1.3360000000000001</v>
      </c>
      <c r="G3" s="10">
        <v>0</v>
      </c>
      <c r="H3" s="10">
        <v>19.033000000000001</v>
      </c>
      <c r="I3" s="10">
        <v>20.989000000000001</v>
      </c>
      <c r="J3" s="10">
        <v>1.5669999999999999</v>
      </c>
      <c r="K3" s="10">
        <v>30.74</v>
      </c>
      <c r="L3" s="13">
        <v>2.0379999999999998</v>
      </c>
      <c r="M3" s="13">
        <v>0</v>
      </c>
      <c r="N3" s="13">
        <v>0.32400000000000001</v>
      </c>
      <c r="O3" s="13">
        <v>0</v>
      </c>
      <c r="P3" s="13">
        <v>3.7829999999999999</v>
      </c>
      <c r="Q3" s="13">
        <v>1.3620000000000001</v>
      </c>
      <c r="R3" s="13">
        <v>0.27500000000000002</v>
      </c>
      <c r="S3" s="13">
        <v>0</v>
      </c>
      <c r="T3" s="13">
        <v>1.7669999999999999</v>
      </c>
      <c r="U3" s="13">
        <v>3.738</v>
      </c>
      <c r="V3" s="13">
        <v>0</v>
      </c>
      <c r="W3" s="13">
        <v>1.218</v>
      </c>
      <c r="X3" s="13">
        <v>0.99399999999999999</v>
      </c>
      <c r="Y3" s="13">
        <v>3.3719999999999999</v>
      </c>
      <c r="Z3" s="13">
        <v>7.5869999999999997</v>
      </c>
      <c r="AA3" s="13">
        <v>3.7919999999999998</v>
      </c>
      <c r="AB3" s="13">
        <v>0</v>
      </c>
      <c r="AC3" s="13">
        <v>0</v>
      </c>
      <c r="AD3" s="13">
        <v>17.318999999999999</v>
      </c>
      <c r="AE3" s="13">
        <v>5.3780000000000001</v>
      </c>
      <c r="AF3" s="13">
        <v>4.133</v>
      </c>
      <c r="AG3" s="13">
        <v>0</v>
      </c>
      <c r="AH3" s="13">
        <v>2.766</v>
      </c>
      <c r="AI3" s="13">
        <v>3.5009999999999999</v>
      </c>
      <c r="AJ3" s="13">
        <v>0</v>
      </c>
      <c r="AK3" s="13">
        <v>1.581</v>
      </c>
      <c r="AL3" s="13">
        <v>16.193000000000001</v>
      </c>
      <c r="AM3" s="13">
        <v>11.082000000000001</v>
      </c>
      <c r="AN3" s="13">
        <v>2.2440000000000002</v>
      </c>
      <c r="AO3" s="13">
        <v>21.922999999999998</v>
      </c>
      <c r="AP3" s="13">
        <v>28.518000000000001</v>
      </c>
      <c r="AQ3" s="10">
        <v>78.858000000000004</v>
      </c>
      <c r="AR3" s="10">
        <v>56.59</v>
      </c>
      <c r="AS3" s="10">
        <v>10.407999999999999</v>
      </c>
      <c r="AT3" s="10">
        <v>0</v>
      </c>
      <c r="AU3" s="10">
        <v>7.7839999999999998</v>
      </c>
      <c r="AV3" s="10">
        <v>0</v>
      </c>
      <c r="AW3" s="10">
        <v>0.249</v>
      </c>
      <c r="AX3" s="10">
        <v>1.9790000000000001</v>
      </c>
      <c r="AY3" s="10">
        <v>7.0709999999999997</v>
      </c>
      <c r="AZ3" s="13">
        <v>0</v>
      </c>
      <c r="BA3" s="13">
        <v>0</v>
      </c>
      <c r="BB3" s="13">
        <v>3.7930000000000001</v>
      </c>
      <c r="BC3" s="13">
        <v>0.32600000000000001</v>
      </c>
      <c r="BD3" s="13">
        <v>1.518</v>
      </c>
      <c r="BE3" s="13">
        <v>0</v>
      </c>
      <c r="BF3" s="13">
        <v>7.9930000000000003</v>
      </c>
      <c r="BG3" s="13">
        <v>3.246</v>
      </c>
      <c r="BH3" s="10">
        <v>3.9790000000000001</v>
      </c>
      <c r="BI3" s="10">
        <v>3.1259999999999999</v>
      </c>
      <c r="BJ3" s="10">
        <v>6.5289999999999999</v>
      </c>
      <c r="BK3" s="13">
        <v>23.082999999999998</v>
      </c>
      <c r="BL3" s="13">
        <v>7.6239999999999997</v>
      </c>
      <c r="BM3" s="13">
        <v>9.9640000000000004</v>
      </c>
      <c r="BN3" s="13">
        <v>0</v>
      </c>
      <c r="BO3" s="13">
        <v>19.443000000000001</v>
      </c>
      <c r="BP3" s="13">
        <v>20.969000000000001</v>
      </c>
      <c r="BQ3" s="10">
        <v>0.51100000000000001</v>
      </c>
      <c r="BR3" s="10">
        <v>0</v>
      </c>
      <c r="BS3" s="10">
        <v>6.3369999999999997</v>
      </c>
      <c r="BT3" s="10">
        <v>2.57</v>
      </c>
      <c r="BU3" s="10">
        <v>6.8780000000000001</v>
      </c>
      <c r="BV3" s="10">
        <v>9.5510000000000002</v>
      </c>
      <c r="BW3" s="13">
        <v>1.282</v>
      </c>
      <c r="BX3" s="13">
        <v>0.72499999999999998</v>
      </c>
      <c r="BY3" s="13">
        <v>11.21</v>
      </c>
      <c r="BZ3" s="13">
        <v>11.932</v>
      </c>
      <c r="CA3" s="13">
        <v>27.19</v>
      </c>
      <c r="CB3" s="13">
        <v>20.02</v>
      </c>
      <c r="CC3" s="13">
        <v>0.82099999999999995</v>
      </c>
      <c r="CD3" s="13">
        <v>6.8869999999999996</v>
      </c>
      <c r="CE3" s="13">
        <v>19.381</v>
      </c>
      <c r="CF3" s="13">
        <v>11.211</v>
      </c>
      <c r="CG3" s="13">
        <v>2.4220000000000002</v>
      </c>
      <c r="CH3" s="13">
        <v>1.6779999999999999</v>
      </c>
      <c r="CI3" s="13">
        <v>7.1840000000000002</v>
      </c>
      <c r="CJ3" s="13">
        <v>2.9020000000000001</v>
      </c>
      <c r="CK3" s="13">
        <v>2.782</v>
      </c>
      <c r="CL3" s="13">
        <v>5.61</v>
      </c>
      <c r="CM3" s="13">
        <v>2.2050000000000001</v>
      </c>
      <c r="CN3" s="13">
        <v>12.443</v>
      </c>
      <c r="CO3" s="13">
        <v>6.3630000000000004</v>
      </c>
      <c r="CP3" s="13">
        <v>1.5629999999999999</v>
      </c>
      <c r="CQ3" s="13">
        <v>4.7270000000000003</v>
      </c>
      <c r="CR3" s="10">
        <v>43.752000000000002</v>
      </c>
      <c r="CS3" s="10">
        <v>3.1459999999999999</v>
      </c>
      <c r="CT3" s="10">
        <v>4.4379999999999997</v>
      </c>
      <c r="CU3" s="10">
        <v>1.665</v>
      </c>
      <c r="CV3" s="10">
        <v>5.6920000000000002</v>
      </c>
      <c r="CW3" s="10">
        <v>12.939</v>
      </c>
      <c r="CX3" s="10">
        <v>0</v>
      </c>
      <c r="CY3" s="10">
        <v>0</v>
      </c>
    </row>
    <row r="4" spans="1:103" x14ac:dyDescent="0.25">
      <c r="A4" s="5" t="s">
        <v>126</v>
      </c>
      <c r="B4" s="10">
        <v>18.199000000000002</v>
      </c>
      <c r="C4" s="10">
        <v>2.4809999999999999</v>
      </c>
      <c r="D4" s="10">
        <v>0</v>
      </c>
      <c r="E4" s="10">
        <v>12.516</v>
      </c>
      <c r="F4" s="10">
        <v>0.33400000000000002</v>
      </c>
      <c r="G4" s="10">
        <v>0</v>
      </c>
      <c r="H4" s="10">
        <v>19.033000000000001</v>
      </c>
      <c r="I4" s="10">
        <v>10.012</v>
      </c>
      <c r="J4" s="10">
        <v>66.546000000000006</v>
      </c>
      <c r="K4" s="10">
        <v>103.611</v>
      </c>
      <c r="L4" s="13">
        <v>0</v>
      </c>
      <c r="M4" s="13">
        <v>4.8310000000000004</v>
      </c>
      <c r="N4" s="13">
        <v>0.432</v>
      </c>
      <c r="O4" s="13">
        <v>0</v>
      </c>
      <c r="P4" s="13">
        <v>2.8889999999999998</v>
      </c>
      <c r="Q4" s="13">
        <v>1.3620000000000001</v>
      </c>
      <c r="R4" s="13">
        <v>0</v>
      </c>
      <c r="S4" s="13">
        <v>3.3780000000000001</v>
      </c>
      <c r="T4" s="13">
        <v>1.5149999999999999</v>
      </c>
      <c r="U4" s="13">
        <v>3.1920000000000002</v>
      </c>
      <c r="V4" s="13">
        <v>2.3199999999999998</v>
      </c>
      <c r="W4" s="13">
        <v>1.827</v>
      </c>
      <c r="X4" s="13">
        <v>0.99399999999999999</v>
      </c>
      <c r="Y4" s="13">
        <v>3.3719999999999999</v>
      </c>
      <c r="Z4" s="13">
        <v>20.707000000000001</v>
      </c>
      <c r="AA4" s="13">
        <v>3.6459999999999999</v>
      </c>
      <c r="AB4" s="13">
        <v>0.50800000000000001</v>
      </c>
      <c r="AC4" s="13">
        <v>0</v>
      </c>
      <c r="AD4" s="13">
        <v>33.670999999999999</v>
      </c>
      <c r="AE4" s="13">
        <v>10.756</v>
      </c>
      <c r="AF4" s="13">
        <v>6.3849999999999998</v>
      </c>
      <c r="AG4" s="13">
        <v>1.228</v>
      </c>
      <c r="AH4" s="13">
        <v>4.07</v>
      </c>
      <c r="AI4" s="13">
        <v>7.7549999999999999</v>
      </c>
      <c r="AJ4" s="13">
        <v>2.3719999999999999</v>
      </c>
      <c r="AK4" s="13">
        <v>0</v>
      </c>
      <c r="AL4" s="13">
        <v>2.1160000000000001</v>
      </c>
      <c r="AM4" s="13">
        <v>2.8479999999999999</v>
      </c>
      <c r="AN4" s="13">
        <v>0</v>
      </c>
      <c r="AO4" s="13">
        <v>13.561999999999999</v>
      </c>
      <c r="AP4" s="13">
        <v>17.562999999999999</v>
      </c>
      <c r="AQ4" s="10">
        <v>41.024000000000001</v>
      </c>
      <c r="AR4" s="10">
        <v>48.756</v>
      </c>
      <c r="AS4" s="10">
        <v>10.407999999999999</v>
      </c>
      <c r="AT4" s="10">
        <v>20.067</v>
      </c>
      <c r="AU4" s="10">
        <v>0</v>
      </c>
      <c r="AV4" s="10">
        <v>3.0489999999999999</v>
      </c>
      <c r="AW4" s="10">
        <v>0</v>
      </c>
      <c r="AX4" s="10">
        <v>1.9790000000000001</v>
      </c>
      <c r="AY4" s="10">
        <v>3.5350000000000001</v>
      </c>
      <c r="AZ4" s="13">
        <v>2.8740000000000001</v>
      </c>
      <c r="BA4" s="13">
        <v>0.84199999999999997</v>
      </c>
      <c r="BB4" s="13">
        <v>0</v>
      </c>
      <c r="BC4" s="13">
        <v>0</v>
      </c>
      <c r="BD4" s="13">
        <v>0.50600000000000001</v>
      </c>
      <c r="BE4" s="13">
        <v>0</v>
      </c>
      <c r="BF4" s="13">
        <v>2.923</v>
      </c>
      <c r="BG4" s="13">
        <v>0</v>
      </c>
      <c r="BH4" s="10">
        <v>0.36099999999999999</v>
      </c>
      <c r="BI4" s="10">
        <v>9.3780000000000001</v>
      </c>
      <c r="BJ4" s="10">
        <v>0</v>
      </c>
      <c r="BK4" s="13">
        <v>0</v>
      </c>
      <c r="BL4" s="13">
        <v>16.152999999999999</v>
      </c>
      <c r="BM4" s="13">
        <v>12.398999999999999</v>
      </c>
      <c r="BN4" s="13">
        <v>12.936999999999999</v>
      </c>
      <c r="BO4" s="13">
        <v>9.7219999999999995</v>
      </c>
      <c r="BP4" s="13">
        <v>9.4290000000000003</v>
      </c>
      <c r="BQ4" s="10">
        <v>0</v>
      </c>
      <c r="BR4" s="10">
        <v>0</v>
      </c>
      <c r="BS4" s="10">
        <v>3.169</v>
      </c>
      <c r="BT4" s="10">
        <v>0</v>
      </c>
      <c r="BU4" s="10">
        <v>0</v>
      </c>
      <c r="BV4" s="10">
        <v>0</v>
      </c>
      <c r="BW4" s="13">
        <v>1.7090000000000001</v>
      </c>
      <c r="BX4" s="13">
        <v>0</v>
      </c>
      <c r="BY4" s="13">
        <v>0</v>
      </c>
      <c r="BZ4" s="13">
        <v>24.305</v>
      </c>
      <c r="CA4" s="13">
        <v>20.445</v>
      </c>
      <c r="CB4" s="13">
        <v>15.884</v>
      </c>
      <c r="CC4" s="13">
        <v>0.995</v>
      </c>
      <c r="CD4" s="13">
        <v>6.8869999999999996</v>
      </c>
      <c r="CE4" s="13">
        <v>5.8239999999999998</v>
      </c>
      <c r="CF4" s="13">
        <v>33.89</v>
      </c>
      <c r="CG4" s="13">
        <v>3.0209999999999999</v>
      </c>
      <c r="CH4" s="13">
        <v>0.68300000000000005</v>
      </c>
      <c r="CI4" s="13">
        <v>3.5920000000000001</v>
      </c>
      <c r="CJ4" s="13">
        <v>0</v>
      </c>
      <c r="CK4" s="13">
        <v>6.9790000000000001</v>
      </c>
      <c r="CL4" s="13">
        <v>0</v>
      </c>
      <c r="CM4" s="13">
        <v>0</v>
      </c>
      <c r="CN4" s="13">
        <v>0</v>
      </c>
      <c r="CO4" s="13">
        <v>1.591</v>
      </c>
      <c r="CP4" s="13">
        <v>0</v>
      </c>
      <c r="CQ4" s="13">
        <v>35.567999999999998</v>
      </c>
      <c r="CR4" s="10">
        <v>52.99</v>
      </c>
      <c r="CS4" s="10">
        <v>2.5219999999999998</v>
      </c>
      <c r="CT4" s="10">
        <v>0</v>
      </c>
      <c r="CU4" s="10">
        <v>0</v>
      </c>
      <c r="CV4" s="10">
        <v>4.9089999999999998</v>
      </c>
      <c r="CW4" s="10">
        <v>11.148</v>
      </c>
      <c r="CX4" s="10">
        <v>2.4510000000000001</v>
      </c>
      <c r="CY4" s="10">
        <v>2.931</v>
      </c>
    </row>
    <row r="5" spans="1:103" x14ac:dyDescent="0.25">
      <c r="A5" s="5" t="s">
        <v>38</v>
      </c>
      <c r="B5" s="10">
        <v>30.937999999999999</v>
      </c>
      <c r="C5" s="10">
        <v>0</v>
      </c>
      <c r="D5" s="10">
        <v>0.59899999999999998</v>
      </c>
      <c r="E5" s="10">
        <v>6.258</v>
      </c>
      <c r="F5" s="10">
        <v>0</v>
      </c>
      <c r="G5" s="10">
        <v>0</v>
      </c>
      <c r="H5" s="10">
        <v>6.3440000000000003</v>
      </c>
      <c r="I5" s="10">
        <v>23.913</v>
      </c>
      <c r="J5" s="10">
        <v>61.966000000000001</v>
      </c>
      <c r="K5" s="10">
        <v>0</v>
      </c>
      <c r="L5" s="13">
        <v>4.8310000000000004</v>
      </c>
      <c r="M5" s="13">
        <v>1.5209999999999999</v>
      </c>
      <c r="N5" s="13">
        <v>0.432</v>
      </c>
      <c r="O5" s="13">
        <v>0.26</v>
      </c>
      <c r="P5" s="13">
        <v>0</v>
      </c>
      <c r="Q5" s="13">
        <v>5.4480000000000004</v>
      </c>
      <c r="R5" s="13">
        <v>0.11600000000000001</v>
      </c>
      <c r="S5" s="13">
        <v>0</v>
      </c>
      <c r="T5" s="13">
        <v>0.75700000000000001</v>
      </c>
      <c r="U5" s="13">
        <v>2.6160000000000001</v>
      </c>
      <c r="V5" s="13">
        <v>1.74</v>
      </c>
      <c r="W5" s="13">
        <v>0</v>
      </c>
      <c r="X5" s="13">
        <v>0</v>
      </c>
      <c r="Y5" s="13">
        <v>5.0590000000000002</v>
      </c>
      <c r="Z5" s="13">
        <v>8.5350000000000001</v>
      </c>
      <c r="AA5" s="13">
        <v>3.5</v>
      </c>
      <c r="AB5" s="13">
        <v>0.50800000000000001</v>
      </c>
      <c r="AC5" s="13">
        <v>14.403</v>
      </c>
      <c r="AD5" s="13">
        <v>0</v>
      </c>
      <c r="AE5" s="13">
        <v>0</v>
      </c>
      <c r="AF5" s="13">
        <v>4.133</v>
      </c>
      <c r="AG5" s="13">
        <v>0.61399999999999999</v>
      </c>
      <c r="AH5" s="13">
        <v>3.5550000000000002</v>
      </c>
      <c r="AI5" s="13">
        <v>0</v>
      </c>
      <c r="AJ5" s="13">
        <v>2.363</v>
      </c>
      <c r="AK5" s="13">
        <v>2.3719999999999999</v>
      </c>
      <c r="AL5" s="13">
        <v>5.5659999999999998</v>
      </c>
      <c r="AM5" s="13">
        <v>0</v>
      </c>
      <c r="AN5" s="13">
        <v>3.5939999999999999</v>
      </c>
      <c r="AO5" s="13">
        <v>2.1539999999999999</v>
      </c>
      <c r="AP5" s="13">
        <v>14.601000000000001</v>
      </c>
      <c r="AQ5" s="10">
        <v>15.523999999999999</v>
      </c>
      <c r="AR5" s="10">
        <v>18.863</v>
      </c>
      <c r="AS5" s="10">
        <v>5.7169999999999996</v>
      </c>
      <c r="AT5" s="10">
        <v>3.3439999999999999</v>
      </c>
      <c r="AU5" s="10">
        <v>15.568</v>
      </c>
      <c r="AV5" s="10">
        <v>1.423</v>
      </c>
      <c r="AW5" s="10">
        <v>0</v>
      </c>
      <c r="AX5" s="10">
        <v>1.4870000000000001</v>
      </c>
      <c r="AY5" s="10">
        <v>12.728999999999999</v>
      </c>
      <c r="AZ5" s="13">
        <v>0</v>
      </c>
      <c r="BA5" s="13">
        <v>0.84199999999999997</v>
      </c>
      <c r="BB5" s="13">
        <v>1.133</v>
      </c>
      <c r="BC5" s="13">
        <v>0</v>
      </c>
      <c r="BD5" s="13">
        <v>0.92700000000000005</v>
      </c>
      <c r="BE5" s="13">
        <v>9.7260000000000009</v>
      </c>
      <c r="BF5" s="13">
        <v>0</v>
      </c>
      <c r="BG5" s="13">
        <v>0</v>
      </c>
      <c r="BH5" s="10">
        <v>2.0099999999999998</v>
      </c>
      <c r="BI5" s="10">
        <v>0.53</v>
      </c>
      <c r="BJ5" s="10">
        <v>0</v>
      </c>
      <c r="BK5" s="13">
        <v>22.282</v>
      </c>
      <c r="BL5" s="13">
        <v>0</v>
      </c>
      <c r="BM5" s="13">
        <v>0</v>
      </c>
      <c r="BN5" s="13">
        <v>0</v>
      </c>
      <c r="BO5" s="13">
        <v>9.7219999999999995</v>
      </c>
      <c r="BP5" s="13">
        <v>0</v>
      </c>
      <c r="BQ5" s="10">
        <v>1.214</v>
      </c>
      <c r="BR5" s="10">
        <v>3.6419999999999999</v>
      </c>
      <c r="BS5" s="10">
        <v>1.87</v>
      </c>
      <c r="BT5" s="10">
        <v>0</v>
      </c>
      <c r="BU5" s="10">
        <v>0</v>
      </c>
      <c r="BV5" s="10">
        <v>0</v>
      </c>
      <c r="BW5" s="13">
        <v>0</v>
      </c>
      <c r="BX5" s="13">
        <v>0.26100000000000001</v>
      </c>
      <c r="BY5" s="13">
        <v>0</v>
      </c>
      <c r="BZ5" s="13">
        <v>37.290999999999997</v>
      </c>
      <c r="CA5" s="13">
        <v>9.0820000000000007</v>
      </c>
      <c r="CB5" s="13">
        <v>0</v>
      </c>
      <c r="CC5" s="13">
        <v>31.675000000000001</v>
      </c>
      <c r="CD5" s="13">
        <v>0</v>
      </c>
      <c r="CE5" s="13">
        <v>29.972000000000001</v>
      </c>
      <c r="CF5" s="13">
        <v>31.488</v>
      </c>
      <c r="CG5" s="13">
        <v>6.85</v>
      </c>
      <c r="CH5" s="13">
        <v>2.0470000000000002</v>
      </c>
      <c r="CI5" s="13">
        <v>0.64400000000000002</v>
      </c>
      <c r="CJ5" s="13">
        <v>0.79</v>
      </c>
      <c r="CK5" s="13">
        <v>8.9510000000000005</v>
      </c>
      <c r="CL5" s="13">
        <v>0</v>
      </c>
      <c r="CM5" s="13">
        <v>4.4109999999999996</v>
      </c>
      <c r="CN5" s="13">
        <v>0</v>
      </c>
      <c r="CO5" s="13">
        <v>4.7729999999999997</v>
      </c>
      <c r="CP5" s="13">
        <v>0</v>
      </c>
      <c r="CQ5" s="13">
        <v>14.964</v>
      </c>
      <c r="CR5" s="10">
        <v>1.3560000000000001</v>
      </c>
      <c r="CS5" s="10">
        <v>5.6310000000000002</v>
      </c>
      <c r="CT5" s="10">
        <v>0</v>
      </c>
      <c r="CU5" s="10">
        <v>0</v>
      </c>
      <c r="CV5" s="10">
        <v>2.5760000000000001</v>
      </c>
      <c r="CW5" s="10">
        <v>10.749000000000001</v>
      </c>
      <c r="CX5" s="10">
        <v>0.81699999999999995</v>
      </c>
      <c r="CY5" s="10">
        <v>0</v>
      </c>
    </row>
    <row r="6" spans="1:103" x14ac:dyDescent="0.25">
      <c r="A6" s="5" t="s">
        <v>39</v>
      </c>
      <c r="B6" s="10">
        <v>41.232999999999997</v>
      </c>
      <c r="C6" s="10">
        <v>0</v>
      </c>
      <c r="D6" s="10">
        <v>0.59899999999999998</v>
      </c>
      <c r="E6" s="10">
        <v>3.129</v>
      </c>
      <c r="F6" s="10">
        <v>0</v>
      </c>
      <c r="G6" s="10">
        <v>0</v>
      </c>
      <c r="H6" s="10">
        <v>0</v>
      </c>
      <c r="I6" s="10">
        <v>31.722000000000001</v>
      </c>
      <c r="J6" s="10">
        <v>29.401</v>
      </c>
      <c r="K6" s="10">
        <v>54.860999999999997</v>
      </c>
      <c r="L6" s="13">
        <v>1.5209999999999999</v>
      </c>
      <c r="M6" s="13">
        <v>3.0430000000000001</v>
      </c>
      <c r="N6" s="13">
        <v>0.54700000000000004</v>
      </c>
      <c r="O6" s="13">
        <v>0.13</v>
      </c>
      <c r="P6" s="13">
        <v>0</v>
      </c>
      <c r="Q6" s="13">
        <v>4.0860000000000003</v>
      </c>
      <c r="R6" s="13">
        <v>0</v>
      </c>
      <c r="S6" s="13">
        <v>1.218</v>
      </c>
      <c r="T6" s="13">
        <v>1.5149999999999999</v>
      </c>
      <c r="U6" s="13">
        <v>2.2970000000000002</v>
      </c>
      <c r="V6" s="13">
        <v>0.57999999999999996</v>
      </c>
      <c r="W6" s="13">
        <v>1.218</v>
      </c>
      <c r="X6" s="13">
        <v>0.84399999999999997</v>
      </c>
      <c r="Y6" s="13">
        <v>1.571</v>
      </c>
      <c r="Z6" s="13">
        <v>0</v>
      </c>
      <c r="AA6" s="13">
        <v>6.327</v>
      </c>
      <c r="AB6" s="13">
        <v>0.76200000000000001</v>
      </c>
      <c r="AC6" s="13">
        <v>15.22</v>
      </c>
      <c r="AD6" s="13">
        <v>48.441000000000003</v>
      </c>
      <c r="AE6" s="13">
        <v>0</v>
      </c>
      <c r="AF6" s="13">
        <v>5.7809999999999997</v>
      </c>
      <c r="AG6" s="13">
        <v>0</v>
      </c>
      <c r="AH6" s="13">
        <v>0</v>
      </c>
      <c r="AI6" s="13">
        <v>1.179</v>
      </c>
      <c r="AJ6" s="13">
        <v>0</v>
      </c>
      <c r="AK6" s="13">
        <v>2.363</v>
      </c>
      <c r="AL6" s="13">
        <v>4.5069999999999997</v>
      </c>
      <c r="AM6" s="13">
        <v>21.672999999999998</v>
      </c>
      <c r="AN6" s="13">
        <v>24.81</v>
      </c>
      <c r="AO6" s="13">
        <v>14.198</v>
      </c>
      <c r="AP6" s="13">
        <v>0</v>
      </c>
      <c r="AQ6" s="10">
        <v>0</v>
      </c>
      <c r="AR6" s="10">
        <v>0</v>
      </c>
      <c r="AS6" s="10">
        <v>8.5749999999999993</v>
      </c>
      <c r="AT6" s="10">
        <v>0</v>
      </c>
      <c r="AU6" s="10">
        <v>0</v>
      </c>
      <c r="AV6" s="10">
        <v>2.0680000000000001</v>
      </c>
      <c r="AW6" s="10">
        <v>0.995</v>
      </c>
      <c r="AX6" s="10">
        <v>1.4870000000000001</v>
      </c>
      <c r="AY6" s="10">
        <v>27.934000000000001</v>
      </c>
      <c r="AZ6" s="13">
        <v>0.40600000000000003</v>
      </c>
      <c r="BA6" s="13">
        <v>0.84199999999999997</v>
      </c>
      <c r="BB6" s="13">
        <v>1.133</v>
      </c>
      <c r="BC6" s="13">
        <v>0</v>
      </c>
      <c r="BD6" s="13">
        <v>1.855</v>
      </c>
      <c r="BE6" s="13">
        <v>0</v>
      </c>
      <c r="BF6" s="13">
        <v>0</v>
      </c>
      <c r="BG6" s="13">
        <v>0</v>
      </c>
      <c r="BH6" s="10">
        <v>0</v>
      </c>
      <c r="BI6" s="10">
        <v>0</v>
      </c>
      <c r="BJ6" s="10">
        <v>0</v>
      </c>
      <c r="BK6" s="13">
        <v>22.282</v>
      </c>
      <c r="BL6" s="13">
        <v>0</v>
      </c>
      <c r="BM6" s="13">
        <v>37.762999999999998</v>
      </c>
      <c r="BN6" s="13">
        <v>34.017000000000003</v>
      </c>
      <c r="BO6" s="13">
        <v>0</v>
      </c>
      <c r="BP6" s="13">
        <v>13.231</v>
      </c>
      <c r="BQ6" s="10">
        <v>1.7430000000000001</v>
      </c>
      <c r="BR6" s="10">
        <v>6.3769999999999998</v>
      </c>
      <c r="BS6" s="10">
        <v>5.4130000000000003</v>
      </c>
      <c r="BT6" s="10">
        <v>0</v>
      </c>
      <c r="BU6" s="10">
        <v>0</v>
      </c>
      <c r="BV6" s="10">
        <v>0</v>
      </c>
      <c r="BW6" s="13">
        <v>0</v>
      </c>
      <c r="BX6" s="13">
        <v>0</v>
      </c>
      <c r="BY6" s="13">
        <v>1.9039999999999999</v>
      </c>
      <c r="BZ6" s="13">
        <v>11.932</v>
      </c>
      <c r="CA6" s="13">
        <v>9.5329999999999995</v>
      </c>
      <c r="CB6" s="13">
        <v>0</v>
      </c>
      <c r="CC6" s="13">
        <v>16.297000000000001</v>
      </c>
      <c r="CD6" s="13">
        <v>0.26600000000000001</v>
      </c>
      <c r="CE6" s="13">
        <v>0</v>
      </c>
      <c r="CF6" s="13">
        <v>0</v>
      </c>
      <c r="CG6" s="13">
        <v>2.306</v>
      </c>
      <c r="CH6" s="13">
        <v>4.0949999999999998</v>
      </c>
      <c r="CI6" s="13">
        <v>0.65400000000000003</v>
      </c>
      <c r="CJ6" s="13">
        <v>0</v>
      </c>
      <c r="CK6" s="13">
        <v>4.6520000000000001</v>
      </c>
      <c r="CL6" s="13">
        <v>0</v>
      </c>
      <c r="CM6" s="13">
        <v>3.17</v>
      </c>
      <c r="CN6" s="13">
        <v>13.835000000000001</v>
      </c>
      <c r="CO6" s="13">
        <v>3.1819999999999999</v>
      </c>
      <c r="CP6" s="13">
        <v>1.7609999999999999</v>
      </c>
      <c r="CQ6" s="13">
        <v>46.036999999999999</v>
      </c>
      <c r="CR6" s="10">
        <v>0</v>
      </c>
      <c r="CS6" s="10">
        <v>0.83499999999999996</v>
      </c>
      <c r="CT6" s="10">
        <v>0</v>
      </c>
      <c r="CU6" s="10">
        <v>0.64100000000000001</v>
      </c>
      <c r="CV6" s="10">
        <v>2.6240000000000001</v>
      </c>
      <c r="CW6" s="10">
        <v>28.905999999999999</v>
      </c>
      <c r="CX6" s="10">
        <v>4.085</v>
      </c>
      <c r="CY6" s="10">
        <v>0</v>
      </c>
    </row>
    <row r="7" spans="1:103" x14ac:dyDescent="0.25">
      <c r="A7" s="5" t="s">
        <v>40</v>
      </c>
      <c r="B7" s="10">
        <v>0</v>
      </c>
      <c r="C7" s="10">
        <v>0.58899999999999997</v>
      </c>
      <c r="D7" s="10">
        <v>2.661</v>
      </c>
      <c r="E7" s="10">
        <v>12.516</v>
      </c>
      <c r="F7" s="10">
        <v>0.24</v>
      </c>
      <c r="G7" s="10">
        <v>0</v>
      </c>
      <c r="H7" s="10">
        <v>20.571000000000002</v>
      </c>
      <c r="I7" s="10">
        <v>19.033000000000001</v>
      </c>
      <c r="J7" s="10">
        <v>62.831000000000003</v>
      </c>
      <c r="K7" s="10">
        <v>33.893999999999998</v>
      </c>
      <c r="L7" s="13">
        <v>3.0430000000000001</v>
      </c>
      <c r="M7" s="13">
        <v>3.0430000000000001</v>
      </c>
      <c r="N7" s="13">
        <v>0.13700000000000001</v>
      </c>
      <c r="O7" s="13">
        <v>0.13</v>
      </c>
      <c r="P7" s="13">
        <v>1.325</v>
      </c>
      <c r="Q7" s="13">
        <v>0</v>
      </c>
      <c r="R7" s="13">
        <v>0</v>
      </c>
      <c r="S7" s="13">
        <v>1.827</v>
      </c>
      <c r="T7" s="13">
        <v>1.5149999999999999</v>
      </c>
      <c r="U7" s="13">
        <v>1.895</v>
      </c>
      <c r="V7" s="13">
        <v>1.1599999999999999</v>
      </c>
      <c r="W7" s="13">
        <v>1.349</v>
      </c>
      <c r="X7" s="13">
        <v>1.6890000000000001</v>
      </c>
      <c r="Y7" s="13">
        <v>4.1310000000000002</v>
      </c>
      <c r="Z7" s="13">
        <v>0</v>
      </c>
      <c r="AA7" s="13">
        <v>0</v>
      </c>
      <c r="AB7" s="13">
        <v>1.887</v>
      </c>
      <c r="AC7" s="13">
        <v>1.036</v>
      </c>
      <c r="AD7" s="13">
        <v>3.161</v>
      </c>
      <c r="AE7" s="13">
        <v>2.5510000000000002</v>
      </c>
      <c r="AF7" s="13">
        <v>7.726</v>
      </c>
      <c r="AG7" s="13">
        <v>0</v>
      </c>
      <c r="AH7" s="13">
        <v>0</v>
      </c>
      <c r="AI7" s="13">
        <v>0</v>
      </c>
      <c r="AJ7" s="13">
        <v>4.4669999999999996</v>
      </c>
      <c r="AK7" s="13">
        <v>0</v>
      </c>
      <c r="AL7" s="13">
        <v>17.754999999999999</v>
      </c>
      <c r="AM7" s="13">
        <v>0</v>
      </c>
      <c r="AN7" s="13">
        <v>3.08</v>
      </c>
      <c r="AO7" s="13">
        <v>13.88</v>
      </c>
      <c r="AP7" s="13">
        <v>14.145</v>
      </c>
      <c r="AQ7" s="10">
        <v>20.686</v>
      </c>
      <c r="AR7" s="10">
        <v>0</v>
      </c>
      <c r="AS7" s="10">
        <v>5.7169999999999996</v>
      </c>
      <c r="AT7" s="10">
        <v>0</v>
      </c>
      <c r="AU7" s="10">
        <v>0</v>
      </c>
      <c r="AV7" s="10">
        <v>1.665</v>
      </c>
      <c r="AW7" s="10">
        <v>1.077</v>
      </c>
      <c r="AX7" s="10">
        <v>1.4870000000000001</v>
      </c>
      <c r="AY7" s="10">
        <v>20.95</v>
      </c>
      <c r="AZ7" s="13">
        <v>0.79900000000000004</v>
      </c>
      <c r="BA7" s="13">
        <v>0</v>
      </c>
      <c r="BB7" s="13">
        <v>1.133</v>
      </c>
      <c r="BC7" s="13">
        <v>1.081</v>
      </c>
      <c r="BD7" s="13">
        <v>0.92700000000000005</v>
      </c>
      <c r="BE7" s="13">
        <v>0</v>
      </c>
      <c r="BF7" s="13">
        <v>2.2109999999999999</v>
      </c>
      <c r="BG7" s="13">
        <v>2.2919999999999998</v>
      </c>
      <c r="BH7" s="10">
        <v>15.676</v>
      </c>
      <c r="BI7" s="10">
        <v>0</v>
      </c>
      <c r="BJ7" s="10">
        <v>4.9539999999999997</v>
      </c>
      <c r="BK7" s="13">
        <v>0</v>
      </c>
      <c r="BL7" s="13">
        <v>8.0760000000000005</v>
      </c>
      <c r="BM7" s="13">
        <v>13.358000000000001</v>
      </c>
      <c r="BN7" s="13">
        <v>0</v>
      </c>
      <c r="BO7" s="13">
        <v>37.97</v>
      </c>
      <c r="BP7" s="13">
        <v>0</v>
      </c>
      <c r="BQ7" s="10">
        <v>1.0209999999999999</v>
      </c>
      <c r="BR7" s="10">
        <v>6.3769999999999998</v>
      </c>
      <c r="BS7" s="10">
        <v>0</v>
      </c>
      <c r="BT7" s="10">
        <v>0</v>
      </c>
      <c r="BU7" s="10">
        <v>0</v>
      </c>
      <c r="BV7" s="10">
        <v>5.8769999999999998</v>
      </c>
      <c r="BW7" s="13">
        <v>1.28</v>
      </c>
      <c r="BX7" s="13">
        <v>0</v>
      </c>
      <c r="BY7" s="13">
        <v>11.673</v>
      </c>
      <c r="BZ7" s="13">
        <v>0</v>
      </c>
      <c r="CA7" s="13">
        <v>1.863</v>
      </c>
      <c r="CB7" s="13">
        <v>0</v>
      </c>
      <c r="CC7" s="13">
        <v>32.545999999999999</v>
      </c>
      <c r="CD7" s="13">
        <v>27.66</v>
      </c>
      <c r="CE7" s="13">
        <v>31.724</v>
      </c>
      <c r="CF7" s="13">
        <v>0</v>
      </c>
      <c r="CG7" s="13">
        <v>2.6179999999999999</v>
      </c>
      <c r="CH7" s="13">
        <v>6.1420000000000003</v>
      </c>
      <c r="CI7" s="13">
        <v>1.6279999999999999</v>
      </c>
      <c r="CJ7" s="13">
        <v>5.8029999999999999</v>
      </c>
      <c r="CK7" s="13">
        <v>0</v>
      </c>
      <c r="CL7" s="13">
        <v>4.117</v>
      </c>
      <c r="CM7" s="13">
        <v>6.34</v>
      </c>
      <c r="CN7" s="13">
        <v>13.835000000000001</v>
      </c>
      <c r="CO7" s="13">
        <v>1.8080000000000001</v>
      </c>
      <c r="CP7" s="13">
        <v>0</v>
      </c>
      <c r="CQ7" s="13">
        <v>17.555</v>
      </c>
      <c r="CR7" s="10">
        <v>5.0490000000000004</v>
      </c>
      <c r="CS7" s="10">
        <v>1.4079999999999999</v>
      </c>
      <c r="CT7" s="10">
        <v>0</v>
      </c>
      <c r="CU7" s="10">
        <v>0</v>
      </c>
      <c r="CV7" s="10">
        <v>21.542000000000002</v>
      </c>
      <c r="CW7" s="10">
        <v>8.68</v>
      </c>
      <c r="CX7" s="10">
        <v>1.6339999999999999</v>
      </c>
      <c r="CY7" s="10">
        <v>0.47599999999999998</v>
      </c>
    </row>
    <row r="8" spans="1:103" x14ac:dyDescent="0.25">
      <c r="A8" s="5" t="s">
        <v>125</v>
      </c>
      <c r="B8" s="10">
        <v>0</v>
      </c>
      <c r="C8" s="10">
        <v>0</v>
      </c>
      <c r="D8" s="10">
        <v>1.331</v>
      </c>
      <c r="E8" s="10">
        <v>0</v>
      </c>
      <c r="F8" s="10">
        <v>0.24</v>
      </c>
      <c r="G8" s="10">
        <v>0</v>
      </c>
      <c r="H8" s="10">
        <v>5.1660000000000004</v>
      </c>
      <c r="I8" s="10">
        <v>19.033000000000001</v>
      </c>
      <c r="J8" s="10">
        <v>0</v>
      </c>
      <c r="K8" s="10">
        <v>16.946999999999999</v>
      </c>
      <c r="L8" s="13">
        <v>3.0430000000000001</v>
      </c>
      <c r="M8" s="13">
        <v>0.67800000000000005</v>
      </c>
      <c r="N8" s="13">
        <v>0.27300000000000002</v>
      </c>
      <c r="O8" s="13">
        <v>0.64900000000000002</v>
      </c>
      <c r="P8" s="13">
        <v>1.325</v>
      </c>
      <c r="Q8" s="13">
        <v>4.0860000000000003</v>
      </c>
      <c r="R8" s="13">
        <v>0</v>
      </c>
      <c r="S8" s="13">
        <v>2.7829999999999999</v>
      </c>
      <c r="T8" s="13">
        <v>2.2719999999999998</v>
      </c>
      <c r="U8" s="13">
        <v>2.343</v>
      </c>
      <c r="V8" s="13">
        <v>2.3199999999999998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0.47199999999999998</v>
      </c>
      <c r="AC8" s="13">
        <v>6.9139999999999997</v>
      </c>
      <c r="AD8" s="13">
        <v>35.988999999999997</v>
      </c>
      <c r="AE8" s="13">
        <v>13.157</v>
      </c>
      <c r="AF8" s="13">
        <v>6.4409999999999998</v>
      </c>
      <c r="AG8" s="13">
        <v>0.61399999999999999</v>
      </c>
      <c r="AH8" s="13">
        <v>0</v>
      </c>
      <c r="AI8" s="13">
        <v>4.7149999999999999</v>
      </c>
      <c r="AJ8" s="13">
        <v>0.78800000000000003</v>
      </c>
      <c r="AK8" s="13">
        <v>4.4669999999999996</v>
      </c>
      <c r="AL8" s="13">
        <v>11.131</v>
      </c>
      <c r="AM8" s="13">
        <v>14.903</v>
      </c>
      <c r="AN8" s="13">
        <v>8.3629999999999995</v>
      </c>
      <c r="AO8" s="13">
        <v>4.6269999999999998</v>
      </c>
      <c r="AP8" s="13">
        <v>0</v>
      </c>
      <c r="AQ8" s="10">
        <v>1.964</v>
      </c>
      <c r="AR8" s="10">
        <v>16.645</v>
      </c>
      <c r="AS8" s="10">
        <v>5.7169999999999996</v>
      </c>
      <c r="AT8" s="10">
        <v>2.7759999999999998</v>
      </c>
      <c r="AU8" s="10">
        <v>9.0640000000000001</v>
      </c>
      <c r="AV8" s="10">
        <v>0.61099999999999999</v>
      </c>
      <c r="AW8" s="10">
        <v>0.35899999999999999</v>
      </c>
      <c r="AX8" s="10">
        <v>7.4349999999999996</v>
      </c>
      <c r="AY8" s="10">
        <v>7.4039999999999999</v>
      </c>
      <c r="AZ8" s="13">
        <v>0.60899999999999999</v>
      </c>
      <c r="BA8" s="13">
        <v>0.96199999999999997</v>
      </c>
      <c r="BB8" s="13">
        <v>0</v>
      </c>
      <c r="BC8" s="13">
        <v>0.54100000000000004</v>
      </c>
      <c r="BD8" s="13">
        <v>3.7090000000000001</v>
      </c>
      <c r="BE8" s="13">
        <v>4.8630000000000004</v>
      </c>
      <c r="BF8" s="13">
        <v>0</v>
      </c>
      <c r="BG8" s="13">
        <v>2.2919999999999998</v>
      </c>
      <c r="BH8" s="10">
        <v>0</v>
      </c>
      <c r="BI8" s="10">
        <v>0</v>
      </c>
      <c r="BJ8" s="10">
        <v>5.3410000000000002</v>
      </c>
      <c r="BK8" s="13">
        <v>1.841</v>
      </c>
      <c r="BL8" s="13">
        <v>0</v>
      </c>
      <c r="BM8" s="13">
        <v>0</v>
      </c>
      <c r="BN8" s="13">
        <v>8.0419999999999998</v>
      </c>
      <c r="BO8" s="13">
        <v>28.478000000000002</v>
      </c>
      <c r="BP8" s="13">
        <v>0</v>
      </c>
      <c r="BQ8" s="10">
        <v>0.34100000000000003</v>
      </c>
      <c r="BR8" s="10">
        <v>0</v>
      </c>
      <c r="BS8" s="10">
        <v>0</v>
      </c>
      <c r="BT8" s="10">
        <v>3.64</v>
      </c>
      <c r="BU8" s="10">
        <v>0</v>
      </c>
      <c r="BV8" s="10">
        <v>0</v>
      </c>
      <c r="BW8" s="13">
        <v>0.42699999999999999</v>
      </c>
      <c r="BX8" s="13">
        <v>0.70399999999999996</v>
      </c>
      <c r="BY8" s="13">
        <v>0</v>
      </c>
      <c r="BZ8" s="13">
        <v>27.349</v>
      </c>
      <c r="CA8" s="13">
        <v>15.426</v>
      </c>
      <c r="CB8" s="13">
        <v>0</v>
      </c>
      <c r="CC8" s="13">
        <v>16.273</v>
      </c>
      <c r="CD8" s="13">
        <v>8.9280000000000008</v>
      </c>
      <c r="CE8" s="13">
        <v>22.713999999999999</v>
      </c>
      <c r="CF8" s="13">
        <v>8.1929999999999996</v>
      </c>
      <c r="CG8" s="13">
        <v>3.7080000000000002</v>
      </c>
      <c r="CH8" s="13">
        <v>2.0470000000000002</v>
      </c>
      <c r="CI8" s="13">
        <v>1.9259999999999999</v>
      </c>
      <c r="CJ8" s="13">
        <v>7.6539999999999999</v>
      </c>
      <c r="CK8" s="13">
        <v>0</v>
      </c>
      <c r="CL8" s="13">
        <v>3.8839999999999999</v>
      </c>
      <c r="CM8" s="13">
        <v>1.514</v>
      </c>
      <c r="CN8" s="13">
        <v>7.5750000000000002</v>
      </c>
      <c r="CO8" s="13">
        <v>0</v>
      </c>
      <c r="CP8" s="13">
        <v>8.8059999999999992</v>
      </c>
      <c r="CQ8" s="13">
        <v>7.6369999999999996</v>
      </c>
      <c r="CR8" s="10">
        <v>44.564</v>
      </c>
      <c r="CS8" s="10">
        <v>0</v>
      </c>
      <c r="CT8" s="10">
        <v>1.573</v>
      </c>
      <c r="CU8" s="10">
        <v>1.282</v>
      </c>
      <c r="CV8" s="10">
        <v>8.98</v>
      </c>
      <c r="CW8" s="10">
        <v>9.0779999999999994</v>
      </c>
      <c r="CX8" s="10">
        <v>0</v>
      </c>
      <c r="CY8" s="10">
        <v>0.47599999999999998</v>
      </c>
    </row>
    <row r="9" spans="1:103" x14ac:dyDescent="0.25">
      <c r="A9" s="5" t="s">
        <v>41</v>
      </c>
      <c r="B9" s="10">
        <v>0</v>
      </c>
      <c r="C9" s="10">
        <v>6.3659999999999997</v>
      </c>
      <c r="D9" s="10">
        <v>0.66500000000000004</v>
      </c>
      <c r="E9" s="10">
        <v>11.631</v>
      </c>
      <c r="F9" s="10">
        <v>0.72</v>
      </c>
      <c r="G9" s="10">
        <v>0</v>
      </c>
      <c r="H9" s="10">
        <v>8.1940000000000008</v>
      </c>
      <c r="I9" s="10">
        <v>6.3440000000000003</v>
      </c>
      <c r="J9" s="10">
        <v>33.981000000000002</v>
      </c>
      <c r="K9" s="10">
        <v>0</v>
      </c>
      <c r="L9" s="13">
        <v>0.67800000000000005</v>
      </c>
      <c r="M9" s="13">
        <v>1.3879999999999999</v>
      </c>
      <c r="N9" s="13">
        <v>0.27300000000000002</v>
      </c>
      <c r="O9" s="13">
        <v>0.38</v>
      </c>
      <c r="P9" s="13">
        <v>2.1800000000000002</v>
      </c>
      <c r="Q9" s="13">
        <v>0</v>
      </c>
      <c r="R9" s="13">
        <v>0</v>
      </c>
      <c r="S9" s="13">
        <v>3.4790000000000001</v>
      </c>
      <c r="T9" s="13">
        <v>3.03</v>
      </c>
      <c r="U9" s="13">
        <v>1.0249999999999999</v>
      </c>
      <c r="V9" s="13">
        <v>2.4529999999999998</v>
      </c>
      <c r="W9" s="13">
        <v>1.349</v>
      </c>
      <c r="X9" s="13">
        <v>0.42199999999999999</v>
      </c>
      <c r="Y9" s="13">
        <v>6.2859999999999996</v>
      </c>
      <c r="Z9" s="13">
        <v>2.7730000000000001</v>
      </c>
      <c r="AA9" s="13">
        <v>3.99</v>
      </c>
      <c r="AB9" s="13">
        <v>1.415</v>
      </c>
      <c r="AC9" s="13">
        <v>3.915</v>
      </c>
      <c r="AD9" s="13">
        <v>0</v>
      </c>
      <c r="AE9" s="13">
        <v>22.847000000000001</v>
      </c>
      <c r="AF9" s="13">
        <v>5.8019999999999996</v>
      </c>
      <c r="AG9" s="13">
        <v>1.228</v>
      </c>
      <c r="AH9" s="13">
        <v>0</v>
      </c>
      <c r="AI9" s="13">
        <v>7.2839999999999998</v>
      </c>
      <c r="AJ9" s="13">
        <v>1.159</v>
      </c>
      <c r="AK9" s="13">
        <v>0.78800000000000003</v>
      </c>
      <c r="AL9" s="13">
        <v>5.2060000000000004</v>
      </c>
      <c r="AM9" s="13">
        <v>0</v>
      </c>
      <c r="AN9" s="13">
        <v>1.764</v>
      </c>
      <c r="AO9" s="13">
        <v>8.1280000000000001</v>
      </c>
      <c r="AP9" s="13">
        <v>0.88900000000000001</v>
      </c>
      <c r="AQ9" s="10">
        <v>0</v>
      </c>
      <c r="AR9" s="10">
        <v>24.968</v>
      </c>
      <c r="AS9" s="10">
        <v>2.8580000000000001</v>
      </c>
      <c r="AT9" s="10">
        <v>5.5519999999999996</v>
      </c>
      <c r="AU9" s="10">
        <v>0</v>
      </c>
      <c r="AV9" s="10">
        <v>0.84599999999999997</v>
      </c>
      <c r="AW9" s="10">
        <v>0.71799999999999997</v>
      </c>
      <c r="AX9" s="10">
        <v>1.4870000000000001</v>
      </c>
      <c r="AY9" s="10">
        <v>20.95</v>
      </c>
      <c r="AZ9" s="13">
        <v>0.66200000000000003</v>
      </c>
      <c r="BA9" s="13">
        <v>0</v>
      </c>
      <c r="BB9" s="13">
        <v>1.2949999999999999</v>
      </c>
      <c r="BC9" s="13">
        <v>1.042</v>
      </c>
      <c r="BD9" s="13">
        <v>0.92700000000000005</v>
      </c>
      <c r="BE9" s="13">
        <v>2.431</v>
      </c>
      <c r="BF9" s="13">
        <v>3.621</v>
      </c>
      <c r="BG9" s="13">
        <v>4.5839999999999996</v>
      </c>
      <c r="BH9" s="10">
        <v>0</v>
      </c>
      <c r="BI9" s="10">
        <v>4.867</v>
      </c>
      <c r="BJ9" s="10">
        <v>2.6280000000000001</v>
      </c>
      <c r="BK9" s="13">
        <v>0</v>
      </c>
      <c r="BL9" s="13">
        <v>0</v>
      </c>
      <c r="BM9" s="13">
        <v>37.762999999999998</v>
      </c>
      <c r="BN9" s="13">
        <v>22.678000000000001</v>
      </c>
      <c r="BO9" s="13">
        <v>18.984999999999999</v>
      </c>
      <c r="BP9" s="13">
        <v>15.704000000000001</v>
      </c>
      <c r="BQ9" s="10">
        <v>0</v>
      </c>
      <c r="BR9" s="10">
        <v>4.2519999999999998</v>
      </c>
      <c r="BS9" s="10">
        <v>3.6419999999999999</v>
      </c>
      <c r="BT9" s="10">
        <v>0</v>
      </c>
      <c r="BU9" s="10">
        <v>3.23</v>
      </c>
      <c r="BV9" s="10">
        <v>11.754</v>
      </c>
      <c r="BW9" s="13">
        <v>0.85299999999999998</v>
      </c>
      <c r="BX9" s="13">
        <v>0.61599999999999999</v>
      </c>
      <c r="BY9" s="13">
        <v>11.061</v>
      </c>
      <c r="BZ9" s="13">
        <v>8.4499999999999993</v>
      </c>
      <c r="CA9" s="13">
        <v>9.5630000000000006</v>
      </c>
      <c r="CB9" s="13">
        <v>15.457000000000001</v>
      </c>
      <c r="CC9" s="13">
        <v>0</v>
      </c>
      <c r="CD9" s="13">
        <v>0</v>
      </c>
      <c r="CE9" s="13">
        <v>0</v>
      </c>
      <c r="CF9" s="13">
        <v>0</v>
      </c>
      <c r="CG9" s="13">
        <v>4.0419999999999998</v>
      </c>
      <c r="CH9" s="13">
        <v>0</v>
      </c>
      <c r="CI9" s="13">
        <v>2.593</v>
      </c>
      <c r="CJ9" s="13">
        <v>0</v>
      </c>
      <c r="CK9" s="13">
        <v>4.5359999999999996</v>
      </c>
      <c r="CL9" s="13">
        <v>8.234</v>
      </c>
      <c r="CM9" s="13">
        <v>0</v>
      </c>
      <c r="CN9" s="13">
        <v>7.03</v>
      </c>
      <c r="CO9" s="13">
        <v>5.423</v>
      </c>
      <c r="CP9" s="13">
        <v>2.657</v>
      </c>
      <c r="CQ9" s="13">
        <v>28.388999999999999</v>
      </c>
      <c r="CR9" s="10">
        <v>9.657</v>
      </c>
      <c r="CS9" s="10">
        <v>0.56100000000000005</v>
      </c>
      <c r="CT9" s="10">
        <v>0</v>
      </c>
      <c r="CU9" s="10">
        <v>0</v>
      </c>
      <c r="CV9" s="10">
        <v>6.4550000000000001</v>
      </c>
      <c r="CW9" s="10">
        <v>0</v>
      </c>
      <c r="CX9" s="10">
        <v>1.59</v>
      </c>
      <c r="CY9" s="10">
        <v>1.903</v>
      </c>
    </row>
    <row r="10" spans="1:103" x14ac:dyDescent="0.25">
      <c r="A10" s="5" t="s">
        <v>124</v>
      </c>
      <c r="B10" s="10">
        <v>10.537000000000001</v>
      </c>
      <c r="C10" s="10">
        <v>6.3659999999999997</v>
      </c>
      <c r="D10" s="10">
        <v>0.66500000000000004</v>
      </c>
      <c r="E10" s="10">
        <v>0</v>
      </c>
      <c r="F10" s="10">
        <v>0</v>
      </c>
      <c r="G10" s="10">
        <v>0</v>
      </c>
      <c r="H10" s="10">
        <v>15.401</v>
      </c>
      <c r="I10" s="10">
        <v>0</v>
      </c>
      <c r="J10" s="10">
        <v>34.159999999999997</v>
      </c>
      <c r="K10" s="10">
        <v>15.513999999999999</v>
      </c>
      <c r="L10" s="13">
        <v>1.3879999999999999</v>
      </c>
      <c r="M10" s="13">
        <v>2.1</v>
      </c>
      <c r="N10" s="13">
        <v>0.41</v>
      </c>
      <c r="O10" s="13">
        <v>0.19</v>
      </c>
      <c r="P10" s="13">
        <v>0</v>
      </c>
      <c r="Q10" s="13">
        <v>1.238</v>
      </c>
      <c r="R10" s="13">
        <v>0</v>
      </c>
      <c r="S10" s="13">
        <v>0</v>
      </c>
      <c r="T10" s="13">
        <v>0.94699999999999995</v>
      </c>
      <c r="U10" s="13">
        <v>1.0249999999999999</v>
      </c>
      <c r="V10" s="13">
        <v>1.84</v>
      </c>
      <c r="W10" s="13">
        <v>0</v>
      </c>
      <c r="X10" s="13">
        <v>0.42199999999999999</v>
      </c>
      <c r="Y10" s="13">
        <v>4.0220000000000002</v>
      </c>
      <c r="Z10" s="13">
        <v>6.9610000000000003</v>
      </c>
      <c r="AA10" s="13">
        <v>0</v>
      </c>
      <c r="AB10" s="13">
        <v>0.85299999999999998</v>
      </c>
      <c r="AC10" s="13">
        <v>10.909000000000001</v>
      </c>
      <c r="AD10" s="13">
        <v>18.268000000000001</v>
      </c>
      <c r="AE10" s="13">
        <v>0</v>
      </c>
      <c r="AF10" s="13">
        <v>0</v>
      </c>
      <c r="AG10" s="13">
        <v>0.76100000000000001</v>
      </c>
      <c r="AH10" s="13">
        <v>0</v>
      </c>
      <c r="AI10" s="13">
        <v>0</v>
      </c>
      <c r="AJ10" s="13">
        <v>0.78800000000000003</v>
      </c>
      <c r="AK10" s="13">
        <v>1.159</v>
      </c>
      <c r="AL10" s="13">
        <v>10.704000000000001</v>
      </c>
      <c r="AM10" s="13">
        <v>0</v>
      </c>
      <c r="AN10" s="13">
        <v>7.8659999999999997</v>
      </c>
      <c r="AO10" s="13">
        <v>8.1280000000000001</v>
      </c>
      <c r="AP10" s="13">
        <v>12.557</v>
      </c>
      <c r="AQ10" s="10">
        <v>9.3339999999999996</v>
      </c>
      <c r="AR10" s="10">
        <v>15.045999999999999</v>
      </c>
      <c r="AS10" s="10">
        <v>3.702</v>
      </c>
      <c r="AT10" s="10">
        <v>2.7759999999999998</v>
      </c>
      <c r="AU10" s="10">
        <v>6.0430000000000001</v>
      </c>
      <c r="AV10" s="10">
        <v>4.37</v>
      </c>
      <c r="AW10" s="10">
        <v>0</v>
      </c>
      <c r="AX10" s="10">
        <v>2.3090000000000002</v>
      </c>
      <c r="AY10" s="10">
        <v>6.5629999999999997</v>
      </c>
      <c r="AZ10" s="13">
        <v>0.68600000000000005</v>
      </c>
      <c r="BA10" s="13">
        <v>0</v>
      </c>
      <c r="BB10" s="13">
        <v>0.161</v>
      </c>
      <c r="BC10" s="13">
        <v>0</v>
      </c>
      <c r="BD10" s="13">
        <v>0.86899999999999999</v>
      </c>
      <c r="BE10" s="13">
        <v>5.7359999999999998</v>
      </c>
      <c r="BF10" s="13">
        <v>3.621</v>
      </c>
      <c r="BG10" s="13">
        <v>1.4259999999999999</v>
      </c>
      <c r="BH10" s="10">
        <v>7.851</v>
      </c>
      <c r="BI10" s="10">
        <v>14.6</v>
      </c>
      <c r="BJ10" s="10">
        <v>4.7530000000000001</v>
      </c>
      <c r="BK10" s="13">
        <v>9.798</v>
      </c>
      <c r="BL10" s="13">
        <v>16.154</v>
      </c>
      <c r="BM10" s="13">
        <v>0</v>
      </c>
      <c r="BN10" s="13">
        <v>19.381</v>
      </c>
      <c r="BO10" s="13">
        <v>7.0030000000000001</v>
      </c>
      <c r="BP10" s="13">
        <v>0</v>
      </c>
      <c r="BQ10" s="10">
        <v>1.01</v>
      </c>
      <c r="BR10" s="10">
        <v>2.1259999999999999</v>
      </c>
      <c r="BS10" s="10">
        <v>6.3769999999999998</v>
      </c>
      <c r="BT10" s="10">
        <v>0</v>
      </c>
      <c r="BU10" s="10">
        <v>6.46</v>
      </c>
      <c r="BV10" s="10">
        <v>2.9119999999999999</v>
      </c>
      <c r="BW10" s="13">
        <v>0.42699999999999999</v>
      </c>
      <c r="BX10" s="13">
        <v>0</v>
      </c>
      <c r="BY10" s="13">
        <v>4.931</v>
      </c>
      <c r="BZ10" s="13">
        <v>0.40200000000000002</v>
      </c>
      <c r="CA10" s="13">
        <v>32.271000000000001</v>
      </c>
      <c r="CB10" s="13">
        <v>0</v>
      </c>
      <c r="CC10" s="13">
        <v>0</v>
      </c>
      <c r="CD10" s="13">
        <v>26.783000000000001</v>
      </c>
      <c r="CE10" s="13">
        <v>31.986999999999998</v>
      </c>
      <c r="CF10" s="13">
        <v>18.405999999999999</v>
      </c>
      <c r="CG10" s="13">
        <v>3.2010000000000001</v>
      </c>
      <c r="CH10" s="13">
        <v>4.8170000000000002</v>
      </c>
      <c r="CI10" s="13">
        <v>0.35899999999999999</v>
      </c>
      <c r="CJ10" s="13">
        <v>0</v>
      </c>
      <c r="CK10" s="13">
        <v>0.754</v>
      </c>
      <c r="CL10" s="13">
        <v>0.74299999999999999</v>
      </c>
      <c r="CM10" s="13">
        <v>0</v>
      </c>
      <c r="CN10" s="13">
        <v>4.0369999999999999</v>
      </c>
      <c r="CO10" s="13">
        <v>5.423</v>
      </c>
      <c r="CP10" s="13">
        <v>0</v>
      </c>
      <c r="CQ10" s="13">
        <v>1.48</v>
      </c>
      <c r="CR10" s="10">
        <v>0</v>
      </c>
      <c r="CS10" s="10">
        <v>0</v>
      </c>
      <c r="CT10" s="10">
        <v>1.625</v>
      </c>
      <c r="CU10" s="10">
        <v>0.995</v>
      </c>
      <c r="CV10" s="10">
        <v>3.4020000000000001</v>
      </c>
      <c r="CW10" s="10">
        <v>9.3350000000000009</v>
      </c>
      <c r="CX10" s="10">
        <v>0.79500000000000004</v>
      </c>
      <c r="CY10" s="10">
        <v>0.95099999999999996</v>
      </c>
    </row>
    <row r="11" spans="1:103" x14ac:dyDescent="0.25">
      <c r="A11" s="5" t="s">
        <v>42</v>
      </c>
      <c r="B11" s="10">
        <v>251.58500000000001</v>
      </c>
      <c r="C11" s="10">
        <v>4.665</v>
      </c>
      <c r="D11" s="10">
        <v>0</v>
      </c>
      <c r="E11" s="10">
        <v>5.8159999999999998</v>
      </c>
      <c r="F11" s="10">
        <v>0</v>
      </c>
      <c r="G11" s="10">
        <v>0</v>
      </c>
      <c r="H11" s="10">
        <v>11.707000000000001</v>
      </c>
      <c r="I11" s="10">
        <v>20.571000000000002</v>
      </c>
      <c r="J11" s="10">
        <v>48.197000000000003</v>
      </c>
      <c r="K11" s="10">
        <v>25.922000000000001</v>
      </c>
      <c r="L11" s="13">
        <v>2.1</v>
      </c>
      <c r="M11" s="13">
        <v>6.26</v>
      </c>
      <c r="N11" s="13">
        <v>0.371</v>
      </c>
      <c r="O11" s="13">
        <v>0.76</v>
      </c>
      <c r="P11" s="13">
        <v>0</v>
      </c>
      <c r="Q11" s="13">
        <v>0</v>
      </c>
      <c r="R11" s="13">
        <v>0</v>
      </c>
      <c r="S11" s="13">
        <v>1.7729999999999999</v>
      </c>
      <c r="T11" s="13">
        <v>0.82299999999999995</v>
      </c>
      <c r="U11" s="13">
        <v>2.0499999999999998</v>
      </c>
      <c r="V11" s="13">
        <v>1.84</v>
      </c>
      <c r="W11" s="13">
        <v>0.67400000000000004</v>
      </c>
      <c r="X11" s="13">
        <v>0.499</v>
      </c>
      <c r="Y11" s="13">
        <v>3.1429999999999998</v>
      </c>
      <c r="Z11" s="13">
        <v>0</v>
      </c>
      <c r="AA11" s="13">
        <v>12.118</v>
      </c>
      <c r="AB11" s="13">
        <v>0.86499999999999999</v>
      </c>
      <c r="AC11" s="13">
        <v>0</v>
      </c>
      <c r="AD11" s="13">
        <v>11.579000000000001</v>
      </c>
      <c r="AE11" s="13">
        <v>0.88500000000000001</v>
      </c>
      <c r="AF11" s="13">
        <v>24.635999999999999</v>
      </c>
      <c r="AG11" s="13">
        <v>0.38</v>
      </c>
      <c r="AH11" s="13">
        <v>3.4529999999999998</v>
      </c>
      <c r="AI11" s="13">
        <v>4.0960000000000001</v>
      </c>
      <c r="AJ11" s="13">
        <v>0</v>
      </c>
      <c r="AK11" s="13">
        <v>0.78800000000000003</v>
      </c>
      <c r="AL11" s="13">
        <v>24.917999999999999</v>
      </c>
      <c r="AM11" s="13">
        <v>0</v>
      </c>
      <c r="AN11" s="13">
        <v>6.4210000000000003</v>
      </c>
      <c r="AO11" s="13">
        <v>10.401999999999999</v>
      </c>
      <c r="AP11" s="13">
        <v>0</v>
      </c>
      <c r="AQ11" s="10">
        <v>2.7250000000000001</v>
      </c>
      <c r="AR11" s="10">
        <v>0</v>
      </c>
      <c r="AS11" s="10">
        <v>7.4039999999999999</v>
      </c>
      <c r="AT11" s="10">
        <v>2.7759999999999998</v>
      </c>
      <c r="AU11" s="10">
        <v>2.903</v>
      </c>
      <c r="AV11" s="10">
        <v>1.35</v>
      </c>
      <c r="AW11" s="10">
        <v>1.4359999999999999</v>
      </c>
      <c r="AX11" s="10">
        <v>2.3090000000000002</v>
      </c>
      <c r="AY11" s="10">
        <v>13.115</v>
      </c>
      <c r="AZ11" s="13">
        <v>3.5790000000000002</v>
      </c>
      <c r="BA11" s="13">
        <v>1.099</v>
      </c>
      <c r="BB11" s="13">
        <v>0</v>
      </c>
      <c r="BC11" s="13">
        <v>0.52100000000000002</v>
      </c>
      <c r="BD11" s="13">
        <v>1.304</v>
      </c>
      <c r="BE11" s="13">
        <v>0</v>
      </c>
      <c r="BF11" s="13">
        <v>0</v>
      </c>
      <c r="BG11" s="13">
        <v>1.9810000000000001</v>
      </c>
      <c r="BH11" s="10">
        <v>0</v>
      </c>
      <c r="BI11" s="10">
        <v>4.867</v>
      </c>
      <c r="BJ11" s="10">
        <v>0</v>
      </c>
      <c r="BK11" s="13">
        <v>0</v>
      </c>
      <c r="BL11" s="13">
        <v>18.919</v>
      </c>
      <c r="BM11" s="13">
        <v>0</v>
      </c>
      <c r="BN11" s="13">
        <v>0</v>
      </c>
      <c r="BO11" s="13">
        <v>21.696999999999999</v>
      </c>
      <c r="BP11" s="13">
        <v>0</v>
      </c>
      <c r="BQ11" s="10">
        <v>1.01</v>
      </c>
      <c r="BR11" s="10">
        <v>0</v>
      </c>
      <c r="BS11" s="10">
        <v>6.3769999999999998</v>
      </c>
      <c r="BT11" s="10">
        <v>3.64</v>
      </c>
      <c r="BU11" s="10">
        <v>0</v>
      </c>
      <c r="BV11" s="10">
        <v>5.8239999999999998</v>
      </c>
      <c r="BW11" s="13">
        <v>0.28100000000000003</v>
      </c>
      <c r="BX11" s="13">
        <v>0</v>
      </c>
      <c r="BY11" s="13">
        <v>0.27800000000000002</v>
      </c>
      <c r="BZ11" s="13">
        <v>39.850999999999999</v>
      </c>
      <c r="CA11" s="13">
        <v>25.152000000000001</v>
      </c>
      <c r="CB11" s="13">
        <v>11.51</v>
      </c>
      <c r="CC11" s="13">
        <v>47.220999999999997</v>
      </c>
      <c r="CD11" s="13">
        <v>29.408999999999999</v>
      </c>
      <c r="CE11" s="13">
        <v>1.7989999999999999</v>
      </c>
      <c r="CF11" s="13">
        <v>18.405999999999999</v>
      </c>
      <c r="CG11" s="13">
        <v>1.897</v>
      </c>
      <c r="CH11" s="13">
        <v>1.272</v>
      </c>
      <c r="CI11" s="13">
        <v>2.9049999999999998</v>
      </c>
      <c r="CJ11" s="13">
        <v>11.833</v>
      </c>
      <c r="CK11" s="13">
        <v>0.57499999999999996</v>
      </c>
      <c r="CL11" s="13">
        <v>4.09</v>
      </c>
      <c r="CM11" s="13">
        <v>2.6850000000000001</v>
      </c>
      <c r="CN11" s="13">
        <v>12.112</v>
      </c>
      <c r="CO11" s="13">
        <v>5.423</v>
      </c>
      <c r="CP11" s="13">
        <v>2.657</v>
      </c>
      <c r="CQ11" s="13">
        <v>13.381</v>
      </c>
      <c r="CR11" s="10">
        <v>17.562999999999999</v>
      </c>
      <c r="CS11" s="10">
        <v>10.89</v>
      </c>
      <c r="CT11" s="10">
        <v>3.415</v>
      </c>
      <c r="CU11" s="10">
        <v>0.995</v>
      </c>
      <c r="CV11" s="10">
        <v>8.5890000000000004</v>
      </c>
      <c r="CW11" s="10">
        <v>0</v>
      </c>
      <c r="CX11" s="10">
        <v>0.79500000000000004</v>
      </c>
      <c r="CY11" s="10">
        <v>0</v>
      </c>
    </row>
    <row r="12" spans="1:103" x14ac:dyDescent="0.25">
      <c r="A12" s="5" t="s">
        <v>43</v>
      </c>
      <c r="B12" s="10">
        <v>17.835999999999999</v>
      </c>
      <c r="C12" s="10">
        <v>0.55100000000000005</v>
      </c>
      <c r="D12" s="10">
        <v>0.53600000000000003</v>
      </c>
      <c r="E12" s="10">
        <v>0</v>
      </c>
      <c r="F12" s="10">
        <v>0</v>
      </c>
      <c r="G12" s="10">
        <v>25.657</v>
      </c>
      <c r="H12" s="10">
        <v>17.876000000000001</v>
      </c>
      <c r="I12" s="10">
        <v>5.1660000000000004</v>
      </c>
      <c r="J12" s="10">
        <v>75.605999999999995</v>
      </c>
      <c r="K12" s="10">
        <v>17.484000000000002</v>
      </c>
      <c r="L12" s="13">
        <v>6.26</v>
      </c>
      <c r="M12" s="13">
        <v>0</v>
      </c>
      <c r="N12" s="13">
        <v>0.124</v>
      </c>
      <c r="O12" s="13">
        <v>0.38</v>
      </c>
      <c r="P12" s="13">
        <v>1.6040000000000001</v>
      </c>
      <c r="Q12" s="13">
        <v>0</v>
      </c>
      <c r="R12" s="13">
        <v>0</v>
      </c>
      <c r="S12" s="13">
        <v>0.88700000000000001</v>
      </c>
      <c r="T12" s="13">
        <v>2.3660000000000001</v>
      </c>
      <c r="U12" s="13">
        <v>0</v>
      </c>
      <c r="V12" s="13">
        <v>0</v>
      </c>
      <c r="W12" s="13">
        <v>0</v>
      </c>
      <c r="X12" s="13">
        <v>0</v>
      </c>
      <c r="Y12" s="13">
        <v>5.7679999999999998</v>
      </c>
      <c r="Z12" s="13">
        <v>1.617</v>
      </c>
      <c r="AA12" s="13">
        <v>0</v>
      </c>
      <c r="AB12" s="13">
        <v>0</v>
      </c>
      <c r="AC12" s="13">
        <v>3.915</v>
      </c>
      <c r="AD12" s="13">
        <v>11.58</v>
      </c>
      <c r="AE12" s="13">
        <v>14.369</v>
      </c>
      <c r="AF12" s="13">
        <v>16.622</v>
      </c>
      <c r="AG12" s="13">
        <v>1.141</v>
      </c>
      <c r="AH12" s="13">
        <v>7.6909999999999998</v>
      </c>
      <c r="AI12" s="13">
        <v>2.335</v>
      </c>
      <c r="AJ12" s="13">
        <v>0</v>
      </c>
      <c r="AK12" s="13">
        <v>0</v>
      </c>
      <c r="AL12" s="13">
        <v>8.3810000000000002</v>
      </c>
      <c r="AM12" s="13">
        <v>3.4940000000000002</v>
      </c>
      <c r="AN12" s="13">
        <v>9.2390000000000008</v>
      </c>
      <c r="AO12" s="13">
        <v>37.96</v>
      </c>
      <c r="AP12" s="13">
        <v>10.087</v>
      </c>
      <c r="AQ12" s="10">
        <v>0</v>
      </c>
      <c r="AR12" s="10">
        <v>24.968</v>
      </c>
      <c r="AS12" s="10">
        <v>22.213000000000001</v>
      </c>
      <c r="AT12" s="10">
        <v>29.106000000000002</v>
      </c>
      <c r="AU12" s="10">
        <v>0</v>
      </c>
      <c r="AV12" s="10">
        <v>1.35</v>
      </c>
      <c r="AW12" s="10">
        <v>0</v>
      </c>
      <c r="AX12" s="10">
        <v>3.0790000000000002</v>
      </c>
      <c r="AY12" s="10">
        <v>0</v>
      </c>
      <c r="AZ12" s="13">
        <v>1.0289999999999999</v>
      </c>
      <c r="BA12" s="13">
        <v>1.099</v>
      </c>
      <c r="BB12" s="13">
        <v>0.91600000000000004</v>
      </c>
      <c r="BC12" s="13">
        <v>0</v>
      </c>
      <c r="BD12" s="13">
        <v>2.173</v>
      </c>
      <c r="BE12" s="13">
        <v>2.8679999999999999</v>
      </c>
      <c r="BF12" s="13">
        <v>9.1010000000000009</v>
      </c>
      <c r="BG12" s="13">
        <v>3.9620000000000002</v>
      </c>
      <c r="BH12" s="10">
        <v>9.06</v>
      </c>
      <c r="BI12" s="10">
        <v>0</v>
      </c>
      <c r="BJ12" s="10">
        <v>3.0030000000000001</v>
      </c>
      <c r="BK12" s="13">
        <v>0</v>
      </c>
      <c r="BL12" s="13">
        <v>2.044</v>
      </c>
      <c r="BM12" s="13">
        <v>0</v>
      </c>
      <c r="BN12" s="13">
        <v>26.446999999999999</v>
      </c>
      <c r="BO12" s="13">
        <v>35.427999999999997</v>
      </c>
      <c r="BP12" s="13">
        <v>0</v>
      </c>
      <c r="BQ12" s="10">
        <v>0.34100000000000003</v>
      </c>
      <c r="BR12" s="10">
        <v>6.516</v>
      </c>
      <c r="BS12" s="10">
        <v>0</v>
      </c>
      <c r="BT12" s="10">
        <v>0</v>
      </c>
      <c r="BU12" s="10">
        <v>3.6909999999999998</v>
      </c>
      <c r="BV12" s="10">
        <v>3.6760000000000002</v>
      </c>
      <c r="BW12" s="13">
        <v>1.1259999999999999</v>
      </c>
      <c r="BX12" s="13">
        <v>0</v>
      </c>
      <c r="BY12" s="13">
        <v>10.991</v>
      </c>
      <c r="BZ12" s="13">
        <v>9.41</v>
      </c>
      <c r="CA12" s="13">
        <v>20.36</v>
      </c>
      <c r="CB12" s="13">
        <v>11.292999999999999</v>
      </c>
      <c r="CC12" s="13">
        <v>0.55700000000000005</v>
      </c>
      <c r="CD12" s="13">
        <v>0</v>
      </c>
      <c r="CE12" s="13">
        <v>25.164000000000001</v>
      </c>
      <c r="CF12" s="13">
        <v>0.94299999999999995</v>
      </c>
      <c r="CG12" s="13">
        <v>5.3239999999999998</v>
      </c>
      <c r="CH12" s="13">
        <v>0</v>
      </c>
      <c r="CI12" s="13">
        <v>3.3079999999999998</v>
      </c>
      <c r="CJ12" s="13">
        <v>15.308</v>
      </c>
      <c r="CK12" s="13">
        <v>4.5359999999999996</v>
      </c>
      <c r="CL12" s="13">
        <v>8.18</v>
      </c>
      <c r="CM12" s="13">
        <v>5.3689999999999998</v>
      </c>
      <c r="CN12" s="13">
        <v>0</v>
      </c>
      <c r="CO12" s="13">
        <v>1.266</v>
      </c>
      <c r="CP12" s="13">
        <v>0</v>
      </c>
      <c r="CQ12" s="13">
        <v>40.142000000000003</v>
      </c>
      <c r="CR12" s="10">
        <v>0</v>
      </c>
      <c r="CS12" s="10">
        <v>1.903</v>
      </c>
      <c r="CT12" s="10">
        <v>9.0519999999999996</v>
      </c>
      <c r="CU12" s="10">
        <v>0</v>
      </c>
      <c r="CV12" s="10">
        <v>5.7469999999999999</v>
      </c>
      <c r="CW12" s="10">
        <v>66.811999999999998</v>
      </c>
      <c r="CX12" s="10">
        <v>2.3849999999999998</v>
      </c>
      <c r="CY12" s="10">
        <v>2.093</v>
      </c>
    </row>
    <row r="13" spans="1:103" x14ac:dyDescent="0.25">
      <c r="A13" s="5" t="s">
        <v>44</v>
      </c>
      <c r="B13" s="10">
        <v>10.537000000000001</v>
      </c>
      <c r="C13" s="10">
        <v>0</v>
      </c>
      <c r="D13" s="10">
        <v>2.145</v>
      </c>
      <c r="E13" s="10">
        <v>7.5449999999999999</v>
      </c>
      <c r="F13" s="10">
        <v>0</v>
      </c>
      <c r="G13" s="10">
        <v>0</v>
      </c>
      <c r="H13" s="10">
        <v>0</v>
      </c>
      <c r="I13" s="10">
        <v>8.1940000000000008</v>
      </c>
      <c r="J13" s="10">
        <v>0</v>
      </c>
      <c r="K13" s="10">
        <v>56.228000000000002</v>
      </c>
      <c r="L13" s="13">
        <v>0</v>
      </c>
      <c r="M13" s="13">
        <v>0</v>
      </c>
      <c r="N13" s="13">
        <v>0</v>
      </c>
      <c r="O13" s="13">
        <v>0.38</v>
      </c>
      <c r="P13" s="13">
        <v>0</v>
      </c>
      <c r="Q13" s="13">
        <v>0</v>
      </c>
      <c r="R13" s="13">
        <v>0</v>
      </c>
      <c r="S13" s="13">
        <v>2.66</v>
      </c>
      <c r="T13" s="13">
        <v>2.0219999999999998</v>
      </c>
      <c r="U13" s="13">
        <v>2.4849999999999999</v>
      </c>
      <c r="V13" s="13">
        <v>1.84</v>
      </c>
      <c r="W13" s="13">
        <v>0</v>
      </c>
      <c r="X13" s="13">
        <v>0.998</v>
      </c>
      <c r="Y13" s="13">
        <v>0</v>
      </c>
      <c r="Z13" s="13">
        <v>3.4809999999999999</v>
      </c>
      <c r="AA13" s="13">
        <v>8.32</v>
      </c>
      <c r="AB13" s="13">
        <v>0.504</v>
      </c>
      <c r="AC13" s="13">
        <v>18.472999999999999</v>
      </c>
      <c r="AD13" s="13">
        <v>12.045999999999999</v>
      </c>
      <c r="AE13" s="13">
        <v>7.7460000000000004</v>
      </c>
      <c r="AF13" s="13">
        <v>0.22800000000000001</v>
      </c>
      <c r="AG13" s="13">
        <v>0.76100000000000001</v>
      </c>
      <c r="AH13" s="13">
        <v>0</v>
      </c>
      <c r="AI13" s="13">
        <v>2.1779999999999999</v>
      </c>
      <c r="AJ13" s="13">
        <v>0</v>
      </c>
      <c r="AK13" s="13">
        <v>0</v>
      </c>
      <c r="AL13" s="13">
        <v>10.321</v>
      </c>
      <c r="AM13" s="13">
        <v>0</v>
      </c>
      <c r="AN13" s="13">
        <v>14.677</v>
      </c>
      <c r="AO13" s="13">
        <v>0</v>
      </c>
      <c r="AP13" s="13">
        <v>15.13</v>
      </c>
      <c r="AQ13" s="10">
        <v>11.202999999999999</v>
      </c>
      <c r="AR13" s="10">
        <v>3.9249999999999998</v>
      </c>
      <c r="AS13" s="10">
        <v>3.702</v>
      </c>
      <c r="AT13" s="10">
        <v>0</v>
      </c>
      <c r="AU13" s="10">
        <v>0</v>
      </c>
      <c r="AV13" s="10">
        <v>1.35</v>
      </c>
      <c r="AW13" s="10">
        <v>0.30299999999999999</v>
      </c>
      <c r="AX13" s="10">
        <v>0</v>
      </c>
      <c r="AY13" s="10">
        <v>16.399000000000001</v>
      </c>
      <c r="AZ13" s="13">
        <v>0</v>
      </c>
      <c r="BA13" s="13">
        <v>2.1970000000000001</v>
      </c>
      <c r="BB13" s="13">
        <v>1.077</v>
      </c>
      <c r="BC13" s="13">
        <v>0</v>
      </c>
      <c r="BD13" s="13">
        <v>0.435</v>
      </c>
      <c r="BE13" s="13">
        <v>0</v>
      </c>
      <c r="BF13" s="13">
        <v>2.4460000000000002</v>
      </c>
      <c r="BG13" s="13">
        <v>0</v>
      </c>
      <c r="BH13" s="10">
        <v>2.8439999999999999</v>
      </c>
      <c r="BI13" s="10">
        <v>0</v>
      </c>
      <c r="BJ13" s="10">
        <v>2.4670000000000001</v>
      </c>
      <c r="BK13" s="13">
        <v>0</v>
      </c>
      <c r="BL13" s="13">
        <v>48.463000000000001</v>
      </c>
      <c r="BM13" s="13">
        <v>65.097999999999999</v>
      </c>
      <c r="BN13" s="13">
        <v>8.8160000000000007</v>
      </c>
      <c r="BO13" s="13">
        <v>17.265999999999998</v>
      </c>
      <c r="BP13" s="13">
        <v>14.215</v>
      </c>
      <c r="BQ13" s="10">
        <v>1.6319999999999999</v>
      </c>
      <c r="BR13" s="10">
        <v>5.407</v>
      </c>
      <c r="BS13" s="10">
        <v>4.2519999999999998</v>
      </c>
      <c r="BT13" s="10">
        <v>4.91</v>
      </c>
      <c r="BU13" s="10">
        <v>0</v>
      </c>
      <c r="BV13" s="10">
        <v>5.8239999999999998</v>
      </c>
      <c r="BW13" s="13">
        <v>0.28100000000000003</v>
      </c>
      <c r="BX13" s="13">
        <v>0.31</v>
      </c>
      <c r="BY13" s="13">
        <v>0</v>
      </c>
      <c r="BZ13" s="13">
        <v>19.954999999999998</v>
      </c>
      <c r="CA13" s="13">
        <v>14.544</v>
      </c>
      <c r="CB13" s="13">
        <v>0</v>
      </c>
      <c r="CC13" s="13">
        <v>0</v>
      </c>
      <c r="CD13" s="13">
        <v>1.99</v>
      </c>
      <c r="CE13" s="13">
        <v>2.4489999999999998</v>
      </c>
      <c r="CF13" s="13">
        <v>14.103</v>
      </c>
      <c r="CG13" s="13">
        <v>6.6230000000000002</v>
      </c>
      <c r="CH13" s="13">
        <v>6.3620000000000001</v>
      </c>
      <c r="CI13" s="13">
        <v>3.903</v>
      </c>
      <c r="CJ13" s="13">
        <v>11.818</v>
      </c>
      <c r="CK13" s="13">
        <v>6.641</v>
      </c>
      <c r="CL13" s="13">
        <v>0</v>
      </c>
      <c r="CM13" s="13">
        <v>0</v>
      </c>
      <c r="CN13" s="13">
        <v>4.0369999999999999</v>
      </c>
      <c r="CO13" s="13">
        <v>0</v>
      </c>
      <c r="CP13" s="13">
        <v>0</v>
      </c>
      <c r="CQ13" s="13">
        <v>13.381</v>
      </c>
      <c r="CR13" s="10">
        <v>0</v>
      </c>
      <c r="CS13" s="10">
        <v>2.9729999999999999</v>
      </c>
      <c r="CT13" s="10">
        <v>3.415</v>
      </c>
      <c r="CU13" s="10">
        <v>0</v>
      </c>
      <c r="CV13" s="10">
        <v>9.0850000000000009</v>
      </c>
      <c r="CW13" s="10">
        <v>0</v>
      </c>
      <c r="CX13" s="10">
        <v>1.59</v>
      </c>
      <c r="CY13" s="10">
        <v>0</v>
      </c>
    </row>
    <row r="14" spans="1:103" x14ac:dyDescent="0.25">
      <c r="A14" s="5" t="s">
        <v>123</v>
      </c>
      <c r="B14" s="10">
        <v>150.761</v>
      </c>
      <c r="C14" s="10">
        <v>5.7060000000000004</v>
      </c>
      <c r="D14" s="10">
        <v>1.609</v>
      </c>
      <c r="E14" s="10">
        <v>0</v>
      </c>
      <c r="F14" s="10">
        <v>0.60899999999999999</v>
      </c>
      <c r="G14" s="10">
        <v>0</v>
      </c>
      <c r="H14" s="10">
        <v>21.372</v>
      </c>
      <c r="I14" s="10">
        <v>15.401</v>
      </c>
      <c r="J14" s="10">
        <v>34.947000000000003</v>
      </c>
      <c r="K14" s="10">
        <v>0</v>
      </c>
      <c r="L14" s="13">
        <v>0</v>
      </c>
      <c r="M14" s="13">
        <v>0</v>
      </c>
      <c r="N14" s="13">
        <v>0.124</v>
      </c>
      <c r="O14" s="13">
        <v>0.28399999999999997</v>
      </c>
      <c r="P14" s="13">
        <v>1.9259999999999999</v>
      </c>
      <c r="Q14" s="13">
        <v>3.4359999999999999</v>
      </c>
      <c r="R14" s="13">
        <v>0</v>
      </c>
      <c r="S14" s="13">
        <v>2.66</v>
      </c>
      <c r="T14" s="13">
        <v>0.94699999999999995</v>
      </c>
      <c r="U14" s="13">
        <v>0</v>
      </c>
      <c r="V14" s="13">
        <v>2.4529999999999998</v>
      </c>
      <c r="W14" s="13">
        <v>1.2130000000000001</v>
      </c>
      <c r="X14" s="13">
        <v>0.249</v>
      </c>
      <c r="Y14" s="13">
        <v>3.3879999999999999</v>
      </c>
      <c r="Z14" s="13">
        <v>0</v>
      </c>
      <c r="AA14" s="13">
        <v>17.007999999999999</v>
      </c>
      <c r="AB14" s="13">
        <v>0.41199999999999998</v>
      </c>
      <c r="AC14" s="13">
        <v>8.7149999999999999</v>
      </c>
      <c r="AD14" s="13">
        <v>8.0310000000000006</v>
      </c>
      <c r="AE14" s="13">
        <v>8.9280000000000008</v>
      </c>
      <c r="AF14" s="13">
        <v>4.0670000000000002</v>
      </c>
      <c r="AG14" s="13">
        <v>1.141</v>
      </c>
      <c r="AH14" s="13">
        <v>7.6909999999999998</v>
      </c>
      <c r="AI14" s="13">
        <v>4.3550000000000004</v>
      </c>
      <c r="AJ14" s="13">
        <v>0</v>
      </c>
      <c r="AK14" s="13">
        <v>0</v>
      </c>
      <c r="AL14" s="13">
        <v>5.218</v>
      </c>
      <c r="AM14" s="13">
        <v>0</v>
      </c>
      <c r="AN14" s="13">
        <v>7.3390000000000004</v>
      </c>
      <c r="AO14" s="13">
        <v>2.4020000000000001</v>
      </c>
      <c r="AP14" s="13">
        <v>0</v>
      </c>
      <c r="AQ14" s="10">
        <v>24.763999999999999</v>
      </c>
      <c r="AR14" s="10">
        <v>18.797999999999998</v>
      </c>
      <c r="AS14" s="10">
        <v>3.702</v>
      </c>
      <c r="AT14" s="10">
        <v>7.2770000000000001</v>
      </c>
      <c r="AU14" s="10">
        <v>0</v>
      </c>
      <c r="AV14" s="10">
        <v>7.875</v>
      </c>
      <c r="AW14" s="10">
        <v>0.152</v>
      </c>
      <c r="AX14" s="10">
        <v>0.77</v>
      </c>
      <c r="AY14" s="10">
        <v>10.593</v>
      </c>
      <c r="AZ14" s="13">
        <v>0</v>
      </c>
      <c r="BA14" s="13">
        <v>1.2949999999999999</v>
      </c>
      <c r="BB14" s="13">
        <v>3.625</v>
      </c>
      <c r="BC14" s="13">
        <v>0.71799999999999997</v>
      </c>
      <c r="BD14" s="13">
        <v>0</v>
      </c>
      <c r="BE14" s="13">
        <v>5.7359999999999998</v>
      </c>
      <c r="BF14" s="13">
        <v>2.4460000000000002</v>
      </c>
      <c r="BG14" s="13">
        <v>2.8519999999999999</v>
      </c>
      <c r="BH14" s="10">
        <v>2.617</v>
      </c>
      <c r="BI14" s="10">
        <v>0</v>
      </c>
      <c r="BJ14" s="10">
        <v>22.652000000000001</v>
      </c>
      <c r="BK14" s="13">
        <v>0</v>
      </c>
      <c r="BL14" s="13">
        <v>22.507999999999999</v>
      </c>
      <c r="BM14" s="13">
        <v>0</v>
      </c>
      <c r="BN14" s="13">
        <v>0</v>
      </c>
      <c r="BO14" s="13">
        <v>5.4569999999999999</v>
      </c>
      <c r="BP14" s="13">
        <v>0</v>
      </c>
      <c r="BQ14" s="10">
        <v>0</v>
      </c>
      <c r="BR14" s="10">
        <v>0</v>
      </c>
      <c r="BS14" s="10">
        <v>2.1259999999999999</v>
      </c>
      <c r="BT14" s="10">
        <v>0</v>
      </c>
      <c r="BU14" s="10">
        <v>21.193000000000001</v>
      </c>
      <c r="BV14" s="10">
        <v>1.456</v>
      </c>
      <c r="BW14" s="13">
        <v>1.1259999999999999</v>
      </c>
      <c r="BX14" s="13">
        <v>0.53200000000000003</v>
      </c>
      <c r="BY14" s="13">
        <v>0</v>
      </c>
      <c r="BZ14" s="13">
        <v>6.4939999999999998</v>
      </c>
      <c r="CA14" s="13">
        <v>13.414999999999999</v>
      </c>
      <c r="CB14" s="13">
        <v>17.472000000000001</v>
      </c>
      <c r="CC14" s="13">
        <v>29.219000000000001</v>
      </c>
      <c r="CD14" s="13">
        <v>9.5609999999999999</v>
      </c>
      <c r="CE14" s="13">
        <v>11.401</v>
      </c>
      <c r="CF14" s="13">
        <v>0</v>
      </c>
      <c r="CG14" s="13">
        <v>1.897</v>
      </c>
      <c r="CH14" s="13">
        <v>1.68</v>
      </c>
      <c r="CI14" s="13">
        <v>0</v>
      </c>
      <c r="CJ14" s="13">
        <v>35.453000000000003</v>
      </c>
      <c r="CK14" s="13">
        <v>0</v>
      </c>
      <c r="CL14" s="13">
        <v>1.3080000000000001</v>
      </c>
      <c r="CM14" s="13">
        <v>0</v>
      </c>
      <c r="CN14" s="13">
        <v>12.127000000000001</v>
      </c>
      <c r="CO14" s="13">
        <v>5.7859999999999996</v>
      </c>
      <c r="CP14" s="13">
        <v>4.3120000000000003</v>
      </c>
      <c r="CQ14" s="13">
        <v>0</v>
      </c>
      <c r="CR14" s="10">
        <v>19.521000000000001</v>
      </c>
      <c r="CS14" s="10">
        <v>3.149</v>
      </c>
      <c r="CT14" s="10">
        <v>6.0350000000000001</v>
      </c>
      <c r="CU14" s="10">
        <v>0.995</v>
      </c>
      <c r="CV14" s="10">
        <v>36.378999999999998</v>
      </c>
      <c r="CW14" s="10">
        <v>17.193000000000001</v>
      </c>
      <c r="CX14" s="10">
        <v>0</v>
      </c>
      <c r="CY14" s="10">
        <v>0</v>
      </c>
    </row>
    <row r="15" spans="1:103" x14ac:dyDescent="0.25">
      <c r="A15" s="5" t="s">
        <v>122</v>
      </c>
      <c r="B15" s="10">
        <v>19.722999999999999</v>
      </c>
      <c r="C15" s="10">
        <v>3.2519999999999998</v>
      </c>
      <c r="D15" s="10">
        <v>0.53600000000000003</v>
      </c>
      <c r="E15" s="10">
        <v>7.5449999999999999</v>
      </c>
      <c r="F15" s="10">
        <v>0.40600000000000003</v>
      </c>
      <c r="G15" s="10">
        <v>18.3</v>
      </c>
      <c r="H15" s="10">
        <v>0.223</v>
      </c>
      <c r="I15" s="10">
        <v>11.707000000000001</v>
      </c>
      <c r="J15" s="10">
        <v>34.947000000000003</v>
      </c>
      <c r="K15" s="10">
        <v>28.114000000000001</v>
      </c>
      <c r="L15" s="13">
        <v>0</v>
      </c>
      <c r="M15" s="13">
        <v>1.25</v>
      </c>
      <c r="N15" s="13">
        <v>0.248</v>
      </c>
      <c r="O15" s="13">
        <v>0.14199999999999999</v>
      </c>
      <c r="P15" s="13">
        <v>0.96299999999999997</v>
      </c>
      <c r="Q15" s="13">
        <v>1.718</v>
      </c>
      <c r="R15" s="13">
        <v>0</v>
      </c>
      <c r="S15" s="13">
        <v>1.6220000000000001</v>
      </c>
      <c r="T15" s="13">
        <v>3.0630000000000002</v>
      </c>
      <c r="U15" s="13">
        <v>0</v>
      </c>
      <c r="V15" s="13">
        <v>3.42</v>
      </c>
      <c r="W15" s="13">
        <v>1.2130000000000001</v>
      </c>
      <c r="X15" s="13">
        <v>0.998</v>
      </c>
      <c r="Y15" s="13">
        <v>6.6870000000000003</v>
      </c>
      <c r="Z15" s="13">
        <v>3.0409999999999999</v>
      </c>
      <c r="AA15" s="13">
        <v>26.062000000000001</v>
      </c>
      <c r="AB15" s="13">
        <v>0.49399999999999999</v>
      </c>
      <c r="AC15" s="13">
        <v>1.0429999999999999</v>
      </c>
      <c r="AD15" s="13">
        <v>0.89500000000000002</v>
      </c>
      <c r="AE15" s="13">
        <v>9.8010000000000002</v>
      </c>
      <c r="AF15" s="13">
        <v>12.555</v>
      </c>
      <c r="AG15" s="13">
        <v>1.9590000000000001</v>
      </c>
      <c r="AH15" s="13">
        <v>6.2030000000000003</v>
      </c>
      <c r="AI15" s="13">
        <v>4.3550000000000004</v>
      </c>
      <c r="AJ15" s="13">
        <v>5.181</v>
      </c>
      <c r="AK15" s="13">
        <v>0</v>
      </c>
      <c r="AL15" s="13">
        <v>4.1210000000000004</v>
      </c>
      <c r="AM15" s="13">
        <v>0</v>
      </c>
      <c r="AN15" s="13">
        <v>0</v>
      </c>
      <c r="AO15" s="13">
        <v>17.187000000000001</v>
      </c>
      <c r="AP15" s="13">
        <v>30.937999999999999</v>
      </c>
      <c r="AQ15" s="10">
        <v>0</v>
      </c>
      <c r="AR15" s="10">
        <v>5.931</v>
      </c>
      <c r="AS15" s="10">
        <v>24.209</v>
      </c>
      <c r="AT15" s="10">
        <v>0</v>
      </c>
      <c r="AU15" s="10">
        <v>25.015999999999998</v>
      </c>
      <c r="AV15" s="10">
        <v>4.5</v>
      </c>
      <c r="AW15" s="10">
        <v>0</v>
      </c>
      <c r="AX15" s="10">
        <v>0.89100000000000001</v>
      </c>
      <c r="AY15" s="10">
        <v>14.215999999999999</v>
      </c>
      <c r="AZ15" s="13">
        <v>2.1459999999999999</v>
      </c>
      <c r="BA15" s="13">
        <v>1.2949999999999999</v>
      </c>
      <c r="BB15" s="13">
        <v>1.6339999999999999</v>
      </c>
      <c r="BC15" s="13">
        <v>0</v>
      </c>
      <c r="BD15" s="13">
        <v>0.29799999999999999</v>
      </c>
      <c r="BE15" s="13">
        <v>1.329</v>
      </c>
      <c r="BF15" s="13">
        <v>2.4460000000000002</v>
      </c>
      <c r="BG15" s="13">
        <v>1.802</v>
      </c>
      <c r="BH15" s="10">
        <v>0</v>
      </c>
      <c r="BI15" s="10">
        <v>6.0990000000000002</v>
      </c>
      <c r="BJ15" s="10">
        <v>0</v>
      </c>
      <c r="BK15" s="13">
        <v>3.8690000000000002</v>
      </c>
      <c r="BL15" s="13">
        <v>9.0449999999999999</v>
      </c>
      <c r="BM15" s="13">
        <v>0</v>
      </c>
      <c r="BN15" s="13">
        <v>0</v>
      </c>
      <c r="BO15" s="13">
        <v>17.265999999999998</v>
      </c>
      <c r="BP15" s="13">
        <v>8.3079999999999998</v>
      </c>
      <c r="BQ15" s="10">
        <v>0</v>
      </c>
      <c r="BR15" s="10">
        <v>2.1720000000000002</v>
      </c>
      <c r="BS15" s="10">
        <v>0</v>
      </c>
      <c r="BT15" s="10">
        <v>2.4550000000000001</v>
      </c>
      <c r="BU15" s="10">
        <v>0</v>
      </c>
      <c r="BV15" s="10">
        <v>2.3029999999999999</v>
      </c>
      <c r="BW15" s="13">
        <v>0.28100000000000003</v>
      </c>
      <c r="BX15" s="13">
        <v>0.51900000000000002</v>
      </c>
      <c r="BY15" s="13">
        <v>3.6989999999999998</v>
      </c>
      <c r="BZ15" s="13">
        <v>0.42299999999999999</v>
      </c>
      <c r="CA15" s="13">
        <v>11.868</v>
      </c>
      <c r="CB15" s="13">
        <v>5.3970000000000002</v>
      </c>
      <c r="CC15" s="13">
        <v>28.361000000000001</v>
      </c>
      <c r="CD15" s="13">
        <v>9.5609999999999999</v>
      </c>
      <c r="CE15" s="13">
        <v>11.868</v>
      </c>
      <c r="CF15" s="13">
        <v>0</v>
      </c>
      <c r="CG15" s="13">
        <v>4.726</v>
      </c>
      <c r="CH15" s="13">
        <v>3.36</v>
      </c>
      <c r="CI15" s="13">
        <v>2.6019999999999999</v>
      </c>
      <c r="CJ15" s="13">
        <v>0</v>
      </c>
      <c r="CK15" s="13">
        <v>4.056</v>
      </c>
      <c r="CL15" s="13">
        <v>0</v>
      </c>
      <c r="CM15" s="13">
        <v>0</v>
      </c>
      <c r="CN15" s="13">
        <v>8.423</v>
      </c>
      <c r="CO15" s="13">
        <v>1.266</v>
      </c>
      <c r="CP15" s="13">
        <v>3.7730000000000001</v>
      </c>
      <c r="CQ15" s="13">
        <v>30.140999999999998</v>
      </c>
      <c r="CR15" s="10">
        <v>5.2329999999999997</v>
      </c>
      <c r="CS15" s="10">
        <v>2.2549999999999999</v>
      </c>
      <c r="CT15" s="10">
        <v>0</v>
      </c>
      <c r="CU15" s="10">
        <v>0</v>
      </c>
      <c r="CV15" s="10">
        <v>8.3480000000000008</v>
      </c>
      <c r="CW15" s="10">
        <v>16.486000000000001</v>
      </c>
      <c r="CX15" s="10">
        <v>2.0419999999999998</v>
      </c>
      <c r="CY15" s="10">
        <v>0</v>
      </c>
    </row>
    <row r="16" spans="1:103" x14ac:dyDescent="0.25">
      <c r="A16" s="5" t="s">
        <v>121</v>
      </c>
      <c r="B16" s="10">
        <v>7.351</v>
      </c>
      <c r="C16" s="10">
        <v>8.9849999999999994</v>
      </c>
      <c r="D16" s="10">
        <v>0.53600000000000003</v>
      </c>
      <c r="E16" s="10">
        <v>0</v>
      </c>
      <c r="F16" s="10">
        <v>0</v>
      </c>
      <c r="G16" s="10">
        <v>17.562000000000001</v>
      </c>
      <c r="H16" s="10">
        <v>10.545</v>
      </c>
      <c r="I16" s="10">
        <v>17.876000000000001</v>
      </c>
      <c r="J16" s="10">
        <v>34.808999999999997</v>
      </c>
      <c r="K16" s="10">
        <v>0</v>
      </c>
      <c r="L16" s="13">
        <v>1.25</v>
      </c>
      <c r="M16" s="13">
        <v>5.76</v>
      </c>
      <c r="N16" s="13">
        <v>0</v>
      </c>
      <c r="O16" s="13">
        <v>0.56799999999999995</v>
      </c>
      <c r="P16" s="13">
        <v>2.8889999999999998</v>
      </c>
      <c r="Q16" s="13">
        <v>3.4359999999999999</v>
      </c>
      <c r="R16" s="13">
        <v>0</v>
      </c>
      <c r="S16" s="13">
        <v>1.081</v>
      </c>
      <c r="T16" s="13">
        <v>0</v>
      </c>
      <c r="U16" s="13">
        <v>0</v>
      </c>
      <c r="V16" s="13">
        <v>0</v>
      </c>
      <c r="W16" s="13">
        <v>0</v>
      </c>
      <c r="X16" s="13">
        <v>0.28499999999999998</v>
      </c>
      <c r="Y16" s="13">
        <v>2.8839999999999999</v>
      </c>
      <c r="Z16" s="13">
        <v>5.3220000000000001</v>
      </c>
      <c r="AA16" s="13">
        <v>9.4220000000000006</v>
      </c>
      <c r="AB16" s="13">
        <v>0</v>
      </c>
      <c r="AC16" s="13">
        <v>1.776</v>
      </c>
      <c r="AD16" s="13">
        <v>0</v>
      </c>
      <c r="AE16" s="13">
        <v>8.9280000000000008</v>
      </c>
      <c r="AF16" s="13">
        <v>42.777999999999999</v>
      </c>
      <c r="AG16" s="13">
        <v>1.47</v>
      </c>
      <c r="AH16" s="13">
        <v>0</v>
      </c>
      <c r="AI16" s="13">
        <v>2.1779999999999999</v>
      </c>
      <c r="AJ16" s="13">
        <v>0</v>
      </c>
      <c r="AK16" s="13">
        <v>5.181</v>
      </c>
      <c r="AL16" s="13">
        <v>6.468</v>
      </c>
      <c r="AM16" s="13">
        <v>13.561</v>
      </c>
      <c r="AN16" s="13">
        <v>6.0430000000000001</v>
      </c>
      <c r="AO16" s="13">
        <v>17.187000000000001</v>
      </c>
      <c r="AP16" s="13">
        <v>0</v>
      </c>
      <c r="AQ16" s="10">
        <v>7.5709999999999997</v>
      </c>
      <c r="AR16" s="10">
        <v>18.492000000000001</v>
      </c>
      <c r="AS16" s="10">
        <v>19.367000000000001</v>
      </c>
      <c r="AT16" s="10">
        <v>0</v>
      </c>
      <c r="AU16" s="10">
        <v>0</v>
      </c>
      <c r="AV16" s="10">
        <v>4.3479999999999999</v>
      </c>
      <c r="AW16" s="10">
        <v>0.152</v>
      </c>
      <c r="AX16" s="10">
        <v>0</v>
      </c>
      <c r="AY16" s="10">
        <v>15.352</v>
      </c>
      <c r="AZ16" s="13">
        <v>1.7749999999999999</v>
      </c>
      <c r="BA16" s="13">
        <v>1.2949999999999999</v>
      </c>
      <c r="BB16" s="13">
        <v>1.6339999999999999</v>
      </c>
      <c r="BC16" s="13">
        <v>0</v>
      </c>
      <c r="BD16" s="13">
        <v>0.59499999999999997</v>
      </c>
      <c r="BE16" s="13">
        <v>3.9860000000000002</v>
      </c>
      <c r="BF16" s="13">
        <v>2.4540000000000002</v>
      </c>
      <c r="BG16" s="13">
        <v>3.0489999999999999</v>
      </c>
      <c r="BH16" s="10">
        <v>3.6360000000000001</v>
      </c>
      <c r="BI16" s="10">
        <v>0</v>
      </c>
      <c r="BJ16" s="10">
        <v>0</v>
      </c>
      <c r="BK16" s="13">
        <v>6.7919999999999998</v>
      </c>
      <c r="BL16" s="13">
        <v>13.673999999999999</v>
      </c>
      <c r="BM16" s="13">
        <v>0</v>
      </c>
      <c r="BN16" s="13">
        <v>21.824999999999999</v>
      </c>
      <c r="BO16" s="13">
        <v>0</v>
      </c>
      <c r="BP16" s="13">
        <v>0</v>
      </c>
      <c r="BQ16" s="10">
        <v>1.4239999999999999</v>
      </c>
      <c r="BR16" s="10">
        <v>0</v>
      </c>
      <c r="BS16" s="10">
        <v>6.516</v>
      </c>
      <c r="BT16" s="10">
        <v>4.91</v>
      </c>
      <c r="BU16" s="10">
        <v>0</v>
      </c>
      <c r="BV16" s="10">
        <v>4.6059999999999999</v>
      </c>
      <c r="BW16" s="13">
        <v>0.90900000000000003</v>
      </c>
      <c r="BX16" s="13">
        <v>0</v>
      </c>
      <c r="BY16" s="13">
        <v>0</v>
      </c>
      <c r="BZ16" s="13">
        <v>28.228999999999999</v>
      </c>
      <c r="CA16" s="13">
        <v>16.928999999999998</v>
      </c>
      <c r="CB16" s="13">
        <v>12.353</v>
      </c>
      <c r="CC16" s="13">
        <v>0</v>
      </c>
      <c r="CD16" s="13">
        <v>9.5609999999999999</v>
      </c>
      <c r="CE16" s="13">
        <v>4.694</v>
      </c>
      <c r="CF16" s="13">
        <v>45.118000000000002</v>
      </c>
      <c r="CG16" s="13">
        <v>0</v>
      </c>
      <c r="CH16" s="13">
        <v>0.29599999999999999</v>
      </c>
      <c r="CI16" s="13">
        <v>2.6019999999999999</v>
      </c>
      <c r="CJ16" s="13">
        <v>8.5630000000000006</v>
      </c>
      <c r="CK16" s="13">
        <v>2.214</v>
      </c>
      <c r="CL16" s="13">
        <v>7.2370000000000001</v>
      </c>
      <c r="CM16" s="13">
        <v>0</v>
      </c>
      <c r="CN16" s="13">
        <v>2.7309999999999999</v>
      </c>
      <c r="CO16" s="13">
        <v>1.266</v>
      </c>
      <c r="CP16" s="13">
        <v>0</v>
      </c>
      <c r="CQ16" s="13">
        <v>9.1539999999999999</v>
      </c>
      <c r="CR16" s="10">
        <v>5.5359999999999996</v>
      </c>
      <c r="CS16" s="10">
        <v>1.587</v>
      </c>
      <c r="CT16" s="10">
        <v>3.0169999999999999</v>
      </c>
      <c r="CU16" s="10">
        <v>1.163</v>
      </c>
      <c r="CV16" s="10">
        <v>0</v>
      </c>
      <c r="CW16" s="10">
        <v>9.8919999999999995</v>
      </c>
      <c r="CX16" s="10">
        <v>0.68100000000000005</v>
      </c>
      <c r="CY16" s="10">
        <v>0.69799999999999995</v>
      </c>
    </row>
    <row r="17" spans="1:103" x14ac:dyDescent="0.25">
      <c r="A17" s="5" t="s">
        <v>120</v>
      </c>
      <c r="B17" s="10">
        <v>0</v>
      </c>
      <c r="C17" s="10">
        <v>9.0760000000000005</v>
      </c>
      <c r="D17" s="10">
        <v>0</v>
      </c>
      <c r="E17" s="10">
        <v>2.5150000000000001</v>
      </c>
      <c r="F17" s="10">
        <v>0.50700000000000001</v>
      </c>
      <c r="G17" s="10">
        <v>0</v>
      </c>
      <c r="H17" s="10">
        <v>5.2729999999999997</v>
      </c>
      <c r="I17" s="10">
        <v>0</v>
      </c>
      <c r="J17" s="10">
        <v>57.820999999999998</v>
      </c>
      <c r="K17" s="10">
        <v>25.504999999999999</v>
      </c>
      <c r="L17" s="13">
        <v>5.76</v>
      </c>
      <c r="M17" s="13">
        <v>3.996</v>
      </c>
      <c r="N17" s="13">
        <v>0.45800000000000002</v>
      </c>
      <c r="O17" s="13">
        <v>0.28399999999999997</v>
      </c>
      <c r="P17" s="13">
        <v>2.8889999999999998</v>
      </c>
      <c r="Q17" s="13">
        <v>0</v>
      </c>
      <c r="R17" s="13">
        <v>0.16600000000000001</v>
      </c>
      <c r="S17" s="13">
        <v>0</v>
      </c>
      <c r="T17" s="13">
        <v>2.0419999999999998</v>
      </c>
      <c r="U17" s="13">
        <v>1.2430000000000001</v>
      </c>
      <c r="V17" s="13">
        <v>6.8390000000000004</v>
      </c>
      <c r="W17" s="13">
        <v>0</v>
      </c>
      <c r="X17" s="13">
        <v>0.42399999999999999</v>
      </c>
      <c r="Y17" s="13">
        <v>5.0419999999999998</v>
      </c>
      <c r="Z17" s="13">
        <v>0</v>
      </c>
      <c r="AA17" s="13">
        <v>35.116999999999997</v>
      </c>
      <c r="AB17" s="13">
        <v>0</v>
      </c>
      <c r="AC17" s="13">
        <v>0.73299999999999998</v>
      </c>
      <c r="AD17" s="13">
        <v>11.752000000000001</v>
      </c>
      <c r="AE17" s="13">
        <v>8.9280000000000008</v>
      </c>
      <c r="AF17" s="13">
        <v>1.202</v>
      </c>
      <c r="AG17" s="13">
        <v>0.49</v>
      </c>
      <c r="AH17" s="13">
        <v>0</v>
      </c>
      <c r="AI17" s="13">
        <v>4.3550000000000004</v>
      </c>
      <c r="AJ17" s="13">
        <v>2.11</v>
      </c>
      <c r="AK17" s="13">
        <v>0</v>
      </c>
      <c r="AL17" s="13">
        <v>14.691000000000001</v>
      </c>
      <c r="AM17" s="13">
        <v>0</v>
      </c>
      <c r="AN17" s="13">
        <v>1.1719999999999999</v>
      </c>
      <c r="AO17" s="13">
        <v>12.89</v>
      </c>
      <c r="AP17" s="13">
        <v>0.874</v>
      </c>
      <c r="AQ17" s="10">
        <v>8.5090000000000003</v>
      </c>
      <c r="AR17" s="10">
        <v>1.266</v>
      </c>
      <c r="AS17" s="10">
        <v>4.8419999999999996</v>
      </c>
      <c r="AT17" s="10">
        <v>18.244</v>
      </c>
      <c r="AU17" s="10">
        <v>0</v>
      </c>
      <c r="AV17" s="10">
        <v>15.488</v>
      </c>
      <c r="AW17" s="10">
        <v>0.45500000000000002</v>
      </c>
      <c r="AX17" s="10">
        <v>1.782</v>
      </c>
      <c r="AY17" s="10">
        <v>0</v>
      </c>
      <c r="AZ17" s="13">
        <v>2.1739999999999999</v>
      </c>
      <c r="BA17" s="13">
        <v>1.2949999999999999</v>
      </c>
      <c r="BB17" s="13">
        <v>1.6339999999999999</v>
      </c>
      <c r="BC17" s="13">
        <v>0</v>
      </c>
      <c r="BD17" s="13">
        <v>0.59499999999999997</v>
      </c>
      <c r="BE17" s="13">
        <v>1.329</v>
      </c>
      <c r="BF17" s="13">
        <v>0</v>
      </c>
      <c r="BG17" s="13">
        <v>1.454</v>
      </c>
      <c r="BH17" s="10">
        <v>0</v>
      </c>
      <c r="BI17" s="10">
        <v>1.5640000000000001</v>
      </c>
      <c r="BJ17" s="10">
        <v>0</v>
      </c>
      <c r="BK17" s="13">
        <v>0</v>
      </c>
      <c r="BL17" s="13">
        <v>9.0449999999999999</v>
      </c>
      <c r="BM17" s="13">
        <v>0</v>
      </c>
      <c r="BN17" s="13">
        <v>0</v>
      </c>
      <c r="BO17" s="13">
        <v>7.7370000000000001</v>
      </c>
      <c r="BP17" s="13">
        <v>45.588000000000001</v>
      </c>
      <c r="BQ17" s="10">
        <v>1.9490000000000001</v>
      </c>
      <c r="BR17" s="10">
        <v>6.4379999999999997</v>
      </c>
      <c r="BS17" s="10">
        <v>5.407</v>
      </c>
      <c r="BT17" s="10">
        <v>2.4550000000000001</v>
      </c>
      <c r="BU17" s="10">
        <v>0</v>
      </c>
      <c r="BV17" s="10">
        <v>6.9089999999999998</v>
      </c>
      <c r="BW17" s="13">
        <v>0.45400000000000001</v>
      </c>
      <c r="BX17" s="13">
        <v>0.95899999999999996</v>
      </c>
      <c r="BY17" s="13">
        <v>14.666</v>
      </c>
      <c r="BZ17" s="13">
        <v>13.009</v>
      </c>
      <c r="CA17" s="13">
        <v>1.7789999999999999</v>
      </c>
      <c r="CB17" s="13">
        <v>0</v>
      </c>
      <c r="CC17" s="13">
        <v>1.474</v>
      </c>
      <c r="CD17" s="13">
        <v>10.494999999999999</v>
      </c>
      <c r="CE17" s="13">
        <v>1.38</v>
      </c>
      <c r="CF17" s="13">
        <v>0</v>
      </c>
      <c r="CG17" s="13">
        <v>0</v>
      </c>
      <c r="CH17" s="13">
        <v>0</v>
      </c>
      <c r="CI17" s="13">
        <v>0</v>
      </c>
      <c r="CJ17" s="13">
        <v>35.453000000000003</v>
      </c>
      <c r="CK17" s="13">
        <v>2.214</v>
      </c>
      <c r="CL17" s="13">
        <v>3.2389999999999999</v>
      </c>
      <c r="CM17" s="13">
        <v>0</v>
      </c>
      <c r="CN17" s="13">
        <v>8.423</v>
      </c>
      <c r="CO17" s="13">
        <v>1.948</v>
      </c>
      <c r="CP17" s="13">
        <v>0</v>
      </c>
      <c r="CQ17" s="13">
        <v>9.1539999999999999</v>
      </c>
      <c r="CR17" s="10">
        <v>3.9289999999999998</v>
      </c>
      <c r="CS17" s="10">
        <v>0.63</v>
      </c>
      <c r="CT17" s="10">
        <v>2.4900000000000002</v>
      </c>
      <c r="CU17" s="10">
        <v>0</v>
      </c>
      <c r="CV17" s="10">
        <v>0</v>
      </c>
      <c r="CW17" s="10">
        <v>12.345000000000001</v>
      </c>
      <c r="CX17" s="10">
        <v>0.68100000000000005</v>
      </c>
      <c r="CY17" s="10">
        <v>3.6549999999999998</v>
      </c>
    </row>
    <row r="18" spans="1:103" x14ac:dyDescent="0.25">
      <c r="A18" s="5" t="s">
        <v>119</v>
      </c>
      <c r="B18" s="10">
        <v>21.366</v>
      </c>
      <c r="C18" s="10">
        <v>0.91900000000000004</v>
      </c>
      <c r="D18" s="10">
        <v>0.65900000000000003</v>
      </c>
      <c r="E18" s="10">
        <v>0</v>
      </c>
      <c r="F18" s="10">
        <v>0.254</v>
      </c>
      <c r="G18" s="10">
        <v>7.8120000000000003</v>
      </c>
      <c r="H18" s="10">
        <v>0</v>
      </c>
      <c r="I18" s="10">
        <v>21.372</v>
      </c>
      <c r="J18" s="10">
        <v>30.832000000000001</v>
      </c>
      <c r="K18" s="10">
        <v>0</v>
      </c>
      <c r="L18" s="13">
        <v>3.996</v>
      </c>
      <c r="M18" s="13">
        <v>0</v>
      </c>
      <c r="N18" s="13">
        <v>0</v>
      </c>
      <c r="O18" s="13">
        <v>0.56799999999999995</v>
      </c>
      <c r="P18" s="13">
        <v>0</v>
      </c>
      <c r="Q18" s="13">
        <v>1.718</v>
      </c>
      <c r="R18" s="13">
        <v>1.41</v>
      </c>
      <c r="S18" s="13">
        <v>2.1629999999999998</v>
      </c>
      <c r="T18" s="13">
        <v>2.794</v>
      </c>
      <c r="U18" s="13">
        <v>1.671</v>
      </c>
      <c r="V18" s="13">
        <v>0</v>
      </c>
      <c r="W18" s="13">
        <v>0</v>
      </c>
      <c r="X18" s="13">
        <v>0</v>
      </c>
      <c r="Y18" s="13">
        <v>2.3959999999999999</v>
      </c>
      <c r="Z18" s="13">
        <v>9.9819999999999993</v>
      </c>
      <c r="AA18" s="13">
        <v>14.532999999999999</v>
      </c>
      <c r="AB18" s="13">
        <v>0</v>
      </c>
      <c r="AC18" s="13">
        <v>8.7149999999999999</v>
      </c>
      <c r="AD18" s="13">
        <v>27.149000000000001</v>
      </c>
      <c r="AE18" s="13">
        <v>2.77</v>
      </c>
      <c r="AF18" s="13">
        <v>0.627</v>
      </c>
      <c r="AG18" s="13">
        <v>0.98</v>
      </c>
      <c r="AH18" s="13">
        <v>0</v>
      </c>
      <c r="AI18" s="13">
        <v>3.262</v>
      </c>
      <c r="AJ18" s="13">
        <v>11.53</v>
      </c>
      <c r="AK18" s="13">
        <v>2.11</v>
      </c>
      <c r="AL18" s="13">
        <v>4.1909999999999998</v>
      </c>
      <c r="AM18" s="13">
        <v>0</v>
      </c>
      <c r="AN18" s="13">
        <v>0</v>
      </c>
      <c r="AO18" s="13">
        <v>9.407</v>
      </c>
      <c r="AP18" s="13">
        <v>11.581</v>
      </c>
      <c r="AQ18" s="10">
        <v>21.248000000000001</v>
      </c>
      <c r="AR18" s="10">
        <v>19.181999999999999</v>
      </c>
      <c r="AS18" s="10">
        <v>0</v>
      </c>
      <c r="AT18" s="10">
        <v>9.1219999999999999</v>
      </c>
      <c r="AU18" s="10">
        <v>0</v>
      </c>
      <c r="AV18" s="10">
        <v>1.905</v>
      </c>
      <c r="AW18" s="10">
        <v>0.22900000000000001</v>
      </c>
      <c r="AX18" s="10">
        <v>0</v>
      </c>
      <c r="AY18" s="10">
        <v>17.771000000000001</v>
      </c>
      <c r="AZ18" s="13">
        <v>3.819</v>
      </c>
      <c r="BA18" s="13">
        <v>1.2949999999999999</v>
      </c>
      <c r="BB18" s="13">
        <v>2.1880000000000002</v>
      </c>
      <c r="BC18" s="13">
        <v>0</v>
      </c>
      <c r="BD18" s="13">
        <v>0.29799999999999999</v>
      </c>
      <c r="BE18" s="13">
        <v>5.3150000000000004</v>
      </c>
      <c r="BF18" s="13">
        <v>3.9279999999999999</v>
      </c>
      <c r="BG18" s="13">
        <v>0.66200000000000003</v>
      </c>
      <c r="BH18" s="10">
        <v>0.14799999999999999</v>
      </c>
      <c r="BI18" s="10">
        <v>2.6219999999999999</v>
      </c>
      <c r="BJ18" s="10">
        <v>0.25</v>
      </c>
      <c r="BK18" s="13">
        <v>17.452999999999999</v>
      </c>
      <c r="BL18" s="13">
        <v>12.381</v>
      </c>
      <c r="BM18" s="13">
        <v>0</v>
      </c>
      <c r="BN18" s="13">
        <v>0</v>
      </c>
      <c r="BO18" s="13">
        <v>19.443000000000001</v>
      </c>
      <c r="BP18" s="13">
        <v>0</v>
      </c>
      <c r="BQ18" s="10">
        <v>0</v>
      </c>
      <c r="BR18" s="10">
        <v>1.7989999999999999</v>
      </c>
      <c r="BS18" s="10">
        <v>0</v>
      </c>
      <c r="BT18" s="10">
        <v>0</v>
      </c>
      <c r="BU18" s="10">
        <v>0</v>
      </c>
      <c r="BV18" s="10">
        <v>2.3029999999999999</v>
      </c>
      <c r="BW18" s="13">
        <v>0.22700000000000001</v>
      </c>
      <c r="BX18" s="13">
        <v>0.17699999999999999</v>
      </c>
      <c r="BY18" s="13">
        <v>6.4969999999999999</v>
      </c>
      <c r="BZ18" s="13">
        <v>1.1859999999999999</v>
      </c>
      <c r="CA18" s="13">
        <v>7.407</v>
      </c>
      <c r="CB18" s="13">
        <v>6.1769999999999996</v>
      </c>
      <c r="CC18" s="13">
        <v>1.9259999999999999</v>
      </c>
      <c r="CD18" s="13">
        <v>0</v>
      </c>
      <c r="CE18" s="13">
        <v>12.247999999999999</v>
      </c>
      <c r="CF18" s="13">
        <v>11.624000000000001</v>
      </c>
      <c r="CG18" s="13">
        <v>1.3979999999999999</v>
      </c>
      <c r="CH18" s="13">
        <v>5.04</v>
      </c>
      <c r="CI18" s="13">
        <v>1.9279999999999999</v>
      </c>
      <c r="CJ18" s="13">
        <v>8.91</v>
      </c>
      <c r="CK18" s="13">
        <v>2.3239999999999998</v>
      </c>
      <c r="CL18" s="13">
        <v>2.9990000000000001</v>
      </c>
      <c r="CM18" s="13">
        <v>1.91</v>
      </c>
      <c r="CN18" s="13">
        <v>3.218</v>
      </c>
      <c r="CO18" s="13">
        <v>1.948</v>
      </c>
      <c r="CP18" s="13">
        <v>0</v>
      </c>
      <c r="CQ18" s="13">
        <v>0</v>
      </c>
      <c r="CR18" s="10">
        <v>10.268000000000001</v>
      </c>
      <c r="CS18" s="10">
        <v>0</v>
      </c>
      <c r="CT18" s="10">
        <v>2.4900000000000002</v>
      </c>
      <c r="CU18" s="10">
        <v>2.3250000000000002</v>
      </c>
      <c r="CV18" s="10">
        <v>0</v>
      </c>
      <c r="CW18" s="10">
        <v>3.2970000000000002</v>
      </c>
      <c r="CX18" s="10">
        <v>0.68100000000000005</v>
      </c>
      <c r="CY18" s="10">
        <v>1.218</v>
      </c>
    </row>
    <row r="19" spans="1:103" x14ac:dyDescent="0.25">
      <c r="A19" s="5" t="s">
        <v>118</v>
      </c>
      <c r="B19" s="10">
        <v>0</v>
      </c>
      <c r="C19" s="10">
        <v>0.86599999999999999</v>
      </c>
      <c r="D19" s="10">
        <v>0</v>
      </c>
      <c r="E19" s="10">
        <v>0</v>
      </c>
      <c r="F19" s="10">
        <v>0</v>
      </c>
      <c r="G19" s="10">
        <v>3.2469999999999999</v>
      </c>
      <c r="H19" s="10">
        <v>5.7350000000000003</v>
      </c>
      <c r="I19" s="10">
        <v>0.223</v>
      </c>
      <c r="J19" s="10">
        <v>27.413</v>
      </c>
      <c r="K19" s="10">
        <v>34.771999999999998</v>
      </c>
      <c r="L19" s="13">
        <v>0</v>
      </c>
      <c r="M19" s="13">
        <v>5.8289999999999997</v>
      </c>
      <c r="N19" s="13">
        <v>0.45800000000000002</v>
      </c>
      <c r="O19" s="13">
        <v>0.112</v>
      </c>
      <c r="P19" s="13">
        <v>3.8519999999999999</v>
      </c>
      <c r="Q19" s="13">
        <v>3.4630000000000001</v>
      </c>
      <c r="R19" s="13">
        <v>3.1520000000000001</v>
      </c>
      <c r="S19" s="13">
        <v>1.6220000000000001</v>
      </c>
      <c r="T19" s="13">
        <v>3.0630000000000002</v>
      </c>
      <c r="U19" s="13">
        <v>0</v>
      </c>
      <c r="V19" s="13">
        <v>2.2799999999999998</v>
      </c>
      <c r="W19" s="13">
        <v>0</v>
      </c>
      <c r="X19" s="13">
        <v>0.318</v>
      </c>
      <c r="Y19" s="13">
        <v>1.9490000000000001</v>
      </c>
      <c r="Z19" s="13">
        <v>1.405</v>
      </c>
      <c r="AA19" s="13">
        <v>0.126</v>
      </c>
      <c r="AB19" s="13">
        <v>0.16700000000000001</v>
      </c>
      <c r="AC19" s="13">
        <v>0</v>
      </c>
      <c r="AD19" s="13">
        <v>5.8760000000000003</v>
      </c>
      <c r="AE19" s="13">
        <v>13.329000000000001</v>
      </c>
      <c r="AF19" s="13">
        <v>12.948</v>
      </c>
      <c r="AG19" s="13">
        <v>0.98</v>
      </c>
      <c r="AH19" s="13">
        <v>4.1379999999999999</v>
      </c>
      <c r="AI19" s="13">
        <v>4.0750000000000002</v>
      </c>
      <c r="AJ19" s="13">
        <v>0</v>
      </c>
      <c r="AK19" s="13">
        <v>11.53</v>
      </c>
      <c r="AL19" s="13">
        <v>0</v>
      </c>
      <c r="AM19" s="13">
        <v>0.625</v>
      </c>
      <c r="AN19" s="13">
        <v>16.018000000000001</v>
      </c>
      <c r="AO19" s="13">
        <v>5.9009999999999998</v>
      </c>
      <c r="AP19" s="13">
        <v>18.632999999999999</v>
      </c>
      <c r="AQ19" s="10">
        <v>18.306999999999999</v>
      </c>
      <c r="AR19" s="10">
        <v>5.6210000000000004</v>
      </c>
      <c r="AS19" s="10">
        <v>0</v>
      </c>
      <c r="AT19" s="10">
        <v>13.683</v>
      </c>
      <c r="AU19" s="10">
        <v>0</v>
      </c>
      <c r="AV19" s="10">
        <v>0</v>
      </c>
      <c r="AW19" s="10">
        <v>0.91600000000000004</v>
      </c>
      <c r="AX19" s="10">
        <v>2.6720000000000002</v>
      </c>
      <c r="AY19" s="10">
        <v>0</v>
      </c>
      <c r="AZ19" s="13">
        <v>1.7230000000000001</v>
      </c>
      <c r="BA19" s="13">
        <v>0</v>
      </c>
      <c r="BB19" s="13">
        <v>1.6339999999999999</v>
      </c>
      <c r="BC19" s="13">
        <v>0.16700000000000001</v>
      </c>
      <c r="BD19" s="13">
        <v>1.488</v>
      </c>
      <c r="BE19" s="13">
        <v>0</v>
      </c>
      <c r="BF19" s="13">
        <v>0</v>
      </c>
      <c r="BG19" s="13">
        <v>2.1970000000000001</v>
      </c>
      <c r="BH19" s="10">
        <v>10.907999999999999</v>
      </c>
      <c r="BI19" s="10">
        <v>4.51</v>
      </c>
      <c r="BJ19" s="10">
        <v>0</v>
      </c>
      <c r="BK19" s="13">
        <v>13.583</v>
      </c>
      <c r="BL19" s="13">
        <v>18.091000000000001</v>
      </c>
      <c r="BM19" s="13">
        <v>0</v>
      </c>
      <c r="BN19" s="13">
        <v>14.55</v>
      </c>
      <c r="BO19" s="13">
        <v>0</v>
      </c>
      <c r="BP19" s="13">
        <v>0</v>
      </c>
      <c r="BQ19" s="10">
        <v>1.532</v>
      </c>
      <c r="BR19" s="10">
        <v>0</v>
      </c>
      <c r="BS19" s="10">
        <v>2.1720000000000002</v>
      </c>
      <c r="BT19" s="10">
        <v>5.5570000000000004</v>
      </c>
      <c r="BU19" s="10">
        <v>0</v>
      </c>
      <c r="BV19" s="10">
        <v>4.6059999999999999</v>
      </c>
      <c r="BW19" s="13">
        <v>0.68200000000000005</v>
      </c>
      <c r="BX19" s="13">
        <v>0.83</v>
      </c>
      <c r="BY19" s="13">
        <v>0</v>
      </c>
      <c r="BZ19" s="13">
        <v>0</v>
      </c>
      <c r="CA19" s="13">
        <v>14.813000000000001</v>
      </c>
      <c r="CB19" s="13">
        <v>0</v>
      </c>
      <c r="CC19" s="13">
        <v>22.533999999999999</v>
      </c>
      <c r="CD19" s="13">
        <v>0</v>
      </c>
      <c r="CE19" s="13">
        <v>33.567</v>
      </c>
      <c r="CF19" s="13">
        <v>54.179000000000002</v>
      </c>
      <c r="CG19" s="13">
        <v>6.4249999999999998</v>
      </c>
      <c r="CH19" s="13">
        <v>2.149</v>
      </c>
      <c r="CI19" s="13">
        <v>0</v>
      </c>
      <c r="CJ19" s="13">
        <v>7.6349999999999998</v>
      </c>
      <c r="CK19" s="13">
        <v>0.89900000000000002</v>
      </c>
      <c r="CL19" s="13">
        <v>5.8440000000000003</v>
      </c>
      <c r="CM19" s="13">
        <v>7.1079999999999997</v>
      </c>
      <c r="CN19" s="13">
        <v>8.423</v>
      </c>
      <c r="CO19" s="13">
        <v>1.948</v>
      </c>
      <c r="CP19" s="13">
        <v>1.4930000000000001</v>
      </c>
      <c r="CQ19" s="13">
        <v>63.741</v>
      </c>
      <c r="CR19" s="10">
        <v>5.5359999999999996</v>
      </c>
      <c r="CS19" s="10">
        <v>6.3860000000000001</v>
      </c>
      <c r="CT19" s="10">
        <v>5.0880000000000001</v>
      </c>
      <c r="CU19" s="10">
        <v>0</v>
      </c>
      <c r="CV19" s="10">
        <v>14.218</v>
      </c>
      <c r="CW19" s="10">
        <v>0</v>
      </c>
      <c r="CX19" s="10">
        <v>3.569</v>
      </c>
      <c r="CY19" s="10">
        <v>1.827</v>
      </c>
    </row>
    <row r="20" spans="1:103" x14ac:dyDescent="0.25">
      <c r="A20" s="5" t="s">
        <v>117</v>
      </c>
      <c r="B20" s="10">
        <v>0</v>
      </c>
      <c r="C20" s="10">
        <v>0</v>
      </c>
      <c r="D20" s="10">
        <v>0.65900000000000003</v>
      </c>
      <c r="E20" s="10">
        <v>3.806</v>
      </c>
      <c r="F20" s="10">
        <v>0.254</v>
      </c>
      <c r="G20" s="10">
        <v>0</v>
      </c>
      <c r="H20" s="10">
        <v>2.6360000000000001</v>
      </c>
      <c r="I20" s="10">
        <v>10.545</v>
      </c>
      <c r="J20" s="10">
        <v>0</v>
      </c>
      <c r="K20" s="10">
        <v>91.18</v>
      </c>
      <c r="L20" s="13">
        <v>5.8289999999999997</v>
      </c>
      <c r="M20" s="13">
        <v>3.4969999999999999</v>
      </c>
      <c r="N20" s="13">
        <v>0.22900000000000001</v>
      </c>
      <c r="O20" s="13">
        <v>0.224</v>
      </c>
      <c r="P20" s="13">
        <v>1.391</v>
      </c>
      <c r="Q20" s="13">
        <v>6.9249999999999998</v>
      </c>
      <c r="R20" s="13">
        <v>0</v>
      </c>
      <c r="S20" s="13">
        <v>1.8979999999999999</v>
      </c>
      <c r="T20" s="13">
        <v>1.837</v>
      </c>
      <c r="U20" s="13">
        <v>0</v>
      </c>
      <c r="V20" s="13">
        <v>3.056</v>
      </c>
      <c r="W20" s="13">
        <v>0</v>
      </c>
      <c r="X20" s="13">
        <v>0.106</v>
      </c>
      <c r="Y20" s="13">
        <v>3.63</v>
      </c>
      <c r="Z20" s="13">
        <v>0</v>
      </c>
      <c r="AA20" s="13">
        <v>18.251999999999999</v>
      </c>
      <c r="AB20" s="13">
        <v>1.8520000000000001</v>
      </c>
      <c r="AC20" s="13">
        <v>3.6589999999999998</v>
      </c>
      <c r="AD20" s="13">
        <v>5.8760000000000003</v>
      </c>
      <c r="AE20" s="13">
        <v>8.26</v>
      </c>
      <c r="AF20" s="13">
        <v>0</v>
      </c>
      <c r="AG20" s="13">
        <v>0</v>
      </c>
      <c r="AH20" s="13">
        <v>2.069</v>
      </c>
      <c r="AI20" s="13">
        <v>0</v>
      </c>
      <c r="AJ20" s="13">
        <v>0</v>
      </c>
      <c r="AK20" s="13">
        <v>0</v>
      </c>
      <c r="AL20" s="13">
        <v>3.6259999999999999</v>
      </c>
      <c r="AM20" s="13">
        <v>0</v>
      </c>
      <c r="AN20" s="13">
        <v>0</v>
      </c>
      <c r="AO20" s="13">
        <v>4.766</v>
      </c>
      <c r="AP20" s="13">
        <v>7.8440000000000003</v>
      </c>
      <c r="AQ20" s="10">
        <v>17.103999999999999</v>
      </c>
      <c r="AR20" s="10">
        <v>13.872999999999999</v>
      </c>
      <c r="AS20" s="10">
        <v>5.0529999999999999</v>
      </c>
      <c r="AT20" s="10">
        <v>4.5609999999999999</v>
      </c>
      <c r="AU20" s="10">
        <v>0</v>
      </c>
      <c r="AV20" s="10">
        <v>0</v>
      </c>
      <c r="AW20" s="10">
        <v>0.22900000000000001</v>
      </c>
      <c r="AX20" s="10">
        <v>1.363</v>
      </c>
      <c r="AY20" s="10">
        <v>4.3860000000000001</v>
      </c>
      <c r="AZ20" s="13">
        <v>1.0469999999999999</v>
      </c>
      <c r="BA20" s="13">
        <v>0</v>
      </c>
      <c r="BB20" s="13">
        <v>0</v>
      </c>
      <c r="BC20" s="13">
        <v>0</v>
      </c>
      <c r="BD20" s="13">
        <v>0.68100000000000005</v>
      </c>
      <c r="BE20" s="13">
        <v>3.4119999999999999</v>
      </c>
      <c r="BF20" s="13">
        <v>5.8920000000000003</v>
      </c>
      <c r="BG20" s="13">
        <v>0</v>
      </c>
      <c r="BH20" s="10">
        <v>1.579</v>
      </c>
      <c r="BI20" s="10">
        <v>0</v>
      </c>
      <c r="BJ20" s="10">
        <v>6.51</v>
      </c>
      <c r="BK20" s="13">
        <v>0</v>
      </c>
      <c r="BL20" s="13">
        <v>14.211</v>
      </c>
      <c r="BM20" s="13">
        <v>0</v>
      </c>
      <c r="BN20" s="13">
        <v>32.968000000000004</v>
      </c>
      <c r="BO20" s="13">
        <v>15.475</v>
      </c>
      <c r="BP20" s="13">
        <v>9.1780000000000008</v>
      </c>
      <c r="BQ20" s="10">
        <v>0</v>
      </c>
      <c r="BR20" s="10">
        <v>0</v>
      </c>
      <c r="BS20" s="10">
        <v>0</v>
      </c>
      <c r="BT20" s="10">
        <v>0</v>
      </c>
      <c r="BU20" s="10">
        <v>6.032</v>
      </c>
      <c r="BV20" s="10">
        <v>0</v>
      </c>
      <c r="BW20" s="13">
        <v>0.45400000000000001</v>
      </c>
      <c r="BX20" s="13">
        <v>0.316</v>
      </c>
      <c r="BY20" s="13">
        <v>0</v>
      </c>
      <c r="BZ20" s="13">
        <v>13.009</v>
      </c>
      <c r="CA20" s="13">
        <v>0</v>
      </c>
      <c r="CB20" s="13">
        <v>0.95</v>
      </c>
      <c r="CC20" s="13">
        <v>56.540999999999997</v>
      </c>
      <c r="CD20" s="13">
        <v>0</v>
      </c>
      <c r="CE20" s="13">
        <v>10.813000000000001</v>
      </c>
      <c r="CF20" s="13">
        <v>27.041</v>
      </c>
      <c r="CG20" s="13">
        <v>0</v>
      </c>
      <c r="CH20" s="13">
        <v>0</v>
      </c>
      <c r="CI20" s="13">
        <v>3.6240000000000001</v>
      </c>
      <c r="CJ20" s="13">
        <v>5.0030000000000001</v>
      </c>
      <c r="CK20" s="13">
        <v>0.34899999999999998</v>
      </c>
      <c r="CL20" s="13">
        <v>0</v>
      </c>
      <c r="CM20" s="13">
        <v>0</v>
      </c>
      <c r="CN20" s="13">
        <v>5.7839999999999998</v>
      </c>
      <c r="CO20" s="13">
        <v>5.8449999999999998</v>
      </c>
      <c r="CP20" s="13">
        <v>2.5590000000000002</v>
      </c>
      <c r="CQ20" s="13">
        <v>0</v>
      </c>
      <c r="CR20" s="10">
        <v>9.0860000000000003</v>
      </c>
      <c r="CS20" s="10">
        <v>3.4860000000000002</v>
      </c>
      <c r="CT20" s="10">
        <v>0</v>
      </c>
      <c r="CU20" s="10">
        <v>0</v>
      </c>
      <c r="CV20" s="10">
        <v>7.97</v>
      </c>
      <c r="CW20" s="10">
        <v>43.953000000000003</v>
      </c>
      <c r="CX20" s="10">
        <v>1.19</v>
      </c>
      <c r="CY20" s="10">
        <v>0</v>
      </c>
    </row>
    <row r="21" spans="1:103" x14ac:dyDescent="0.25">
      <c r="A21" s="5" t="s">
        <v>116</v>
      </c>
      <c r="B21" s="10">
        <v>2.3660000000000001</v>
      </c>
      <c r="C21" s="10">
        <v>0</v>
      </c>
      <c r="D21" s="10">
        <v>0</v>
      </c>
      <c r="E21" s="10">
        <v>0</v>
      </c>
      <c r="F21" s="10">
        <v>0.71799999999999997</v>
      </c>
      <c r="G21" s="10">
        <v>12.986000000000001</v>
      </c>
      <c r="H21" s="10">
        <v>0</v>
      </c>
      <c r="I21" s="10">
        <v>5.2729999999999997</v>
      </c>
      <c r="J21" s="10">
        <v>0</v>
      </c>
      <c r="K21" s="10">
        <v>0</v>
      </c>
      <c r="L21" s="13">
        <v>3.4969999999999999</v>
      </c>
      <c r="M21" s="13">
        <v>0</v>
      </c>
      <c r="N21" s="13">
        <v>0.22900000000000001</v>
      </c>
      <c r="O21" s="13">
        <v>0</v>
      </c>
      <c r="P21" s="13">
        <v>0</v>
      </c>
      <c r="Q21" s="13">
        <v>6.9249999999999998</v>
      </c>
      <c r="R21" s="13">
        <v>0</v>
      </c>
      <c r="S21" s="13">
        <v>1.8979999999999999</v>
      </c>
      <c r="T21" s="13">
        <v>1.8959999999999999</v>
      </c>
      <c r="U21" s="13">
        <v>3.3420000000000001</v>
      </c>
      <c r="V21" s="13">
        <v>2.2919999999999998</v>
      </c>
      <c r="W21" s="13">
        <v>4.0380000000000003</v>
      </c>
      <c r="X21" s="13">
        <v>0.106</v>
      </c>
      <c r="Y21" s="13">
        <v>4.6139999999999999</v>
      </c>
      <c r="Z21" s="13">
        <v>5.8570000000000002</v>
      </c>
      <c r="AA21" s="13">
        <v>0</v>
      </c>
      <c r="AB21" s="13">
        <v>0</v>
      </c>
      <c r="AC21" s="13">
        <v>0</v>
      </c>
      <c r="AD21" s="13">
        <v>16.905000000000001</v>
      </c>
      <c r="AE21" s="13">
        <v>4.2750000000000004</v>
      </c>
      <c r="AF21" s="13">
        <v>0</v>
      </c>
      <c r="AG21" s="13">
        <v>0.16700000000000001</v>
      </c>
      <c r="AH21" s="13">
        <v>2.069</v>
      </c>
      <c r="AI21" s="13">
        <v>0</v>
      </c>
      <c r="AJ21" s="13">
        <v>0.33900000000000002</v>
      </c>
      <c r="AK21" s="13">
        <v>0</v>
      </c>
      <c r="AL21" s="13">
        <v>18.13</v>
      </c>
      <c r="AM21" s="13">
        <v>8.6560000000000006</v>
      </c>
      <c r="AN21" s="13">
        <v>16.771999999999998</v>
      </c>
      <c r="AO21" s="13">
        <v>10.363</v>
      </c>
      <c r="AP21" s="13">
        <v>14.672000000000001</v>
      </c>
      <c r="AQ21" s="10">
        <v>1.9379999999999999</v>
      </c>
      <c r="AR21" s="10">
        <v>7.367</v>
      </c>
      <c r="AS21" s="10">
        <v>15.159000000000001</v>
      </c>
      <c r="AT21" s="10">
        <v>13.683</v>
      </c>
      <c r="AU21" s="10">
        <v>12.661</v>
      </c>
      <c r="AV21" s="10">
        <v>4.3479999999999999</v>
      </c>
      <c r="AW21" s="10">
        <v>0.45800000000000002</v>
      </c>
      <c r="AX21" s="10">
        <v>0</v>
      </c>
      <c r="AY21" s="10">
        <v>0</v>
      </c>
      <c r="AZ21" s="13">
        <v>2.403</v>
      </c>
      <c r="BA21" s="13">
        <v>0</v>
      </c>
      <c r="BB21" s="13">
        <v>0.17899999999999999</v>
      </c>
      <c r="BC21" s="13">
        <v>0.16700000000000001</v>
      </c>
      <c r="BD21" s="13">
        <v>0</v>
      </c>
      <c r="BE21" s="13">
        <v>0</v>
      </c>
      <c r="BF21" s="13">
        <v>3.6850000000000001</v>
      </c>
      <c r="BG21" s="13">
        <v>0</v>
      </c>
      <c r="BH21" s="10">
        <v>4.7380000000000004</v>
      </c>
      <c r="BI21" s="10">
        <v>5.2009999999999996</v>
      </c>
      <c r="BJ21" s="10">
        <v>0</v>
      </c>
      <c r="BK21" s="13">
        <v>12.481999999999999</v>
      </c>
      <c r="BL21" s="13">
        <v>23.082999999999998</v>
      </c>
      <c r="BM21" s="13">
        <v>0</v>
      </c>
      <c r="BN21" s="13">
        <v>0</v>
      </c>
      <c r="BO21" s="13">
        <v>13.491</v>
      </c>
      <c r="BP21" s="13">
        <v>0</v>
      </c>
      <c r="BQ21" s="10">
        <v>0.61499999999999999</v>
      </c>
      <c r="BR21" s="10">
        <v>3.016</v>
      </c>
      <c r="BS21" s="10">
        <v>6.4379999999999997</v>
      </c>
      <c r="BT21" s="10">
        <v>0</v>
      </c>
      <c r="BU21" s="10">
        <v>0</v>
      </c>
      <c r="BV21" s="10">
        <v>0</v>
      </c>
      <c r="BW21" s="13">
        <v>1.24</v>
      </c>
      <c r="BX21" s="13">
        <v>0.97699999999999998</v>
      </c>
      <c r="BY21" s="13">
        <v>0</v>
      </c>
      <c r="BZ21" s="13">
        <v>0</v>
      </c>
      <c r="CA21" s="13">
        <v>12.615</v>
      </c>
      <c r="CB21" s="13">
        <v>3.0950000000000002</v>
      </c>
      <c r="CC21" s="13">
        <v>10.928000000000001</v>
      </c>
      <c r="CD21" s="13">
        <v>18.978999999999999</v>
      </c>
      <c r="CE21" s="13">
        <v>13.492000000000001</v>
      </c>
      <c r="CF21" s="13">
        <v>39.156999999999996</v>
      </c>
      <c r="CG21" s="13">
        <v>0</v>
      </c>
      <c r="CH21" s="13">
        <v>0</v>
      </c>
      <c r="CI21" s="13">
        <v>0</v>
      </c>
      <c r="CJ21" s="13">
        <v>28.681000000000001</v>
      </c>
      <c r="CK21" s="13">
        <v>0</v>
      </c>
      <c r="CL21" s="13">
        <v>0</v>
      </c>
      <c r="CM21" s="13">
        <v>2.7719999999999998</v>
      </c>
      <c r="CN21" s="13">
        <v>0</v>
      </c>
      <c r="CO21" s="13">
        <v>3.8969999999999998</v>
      </c>
      <c r="CP21" s="13">
        <v>2.4980000000000002</v>
      </c>
      <c r="CQ21" s="13">
        <v>3.8050000000000002</v>
      </c>
      <c r="CR21" s="10">
        <v>10.994999999999999</v>
      </c>
      <c r="CS21" s="10">
        <v>4.859</v>
      </c>
      <c r="CT21" s="10">
        <v>2.4900000000000002</v>
      </c>
      <c r="CU21" s="10">
        <v>1.1950000000000001</v>
      </c>
      <c r="CV21" s="10">
        <v>0</v>
      </c>
      <c r="CW21" s="10">
        <v>15.09</v>
      </c>
      <c r="CX21" s="10">
        <v>1.19</v>
      </c>
      <c r="CY21" s="10">
        <v>1.218</v>
      </c>
    </row>
    <row r="22" spans="1:103" x14ac:dyDescent="0.25">
      <c r="A22" s="5" t="s">
        <v>115</v>
      </c>
      <c r="B22" s="10">
        <v>24.532</v>
      </c>
      <c r="C22" s="10">
        <v>0</v>
      </c>
      <c r="D22" s="10">
        <v>0.434</v>
      </c>
      <c r="E22" s="10">
        <v>0</v>
      </c>
      <c r="F22" s="10">
        <v>0</v>
      </c>
      <c r="G22" s="10">
        <v>0</v>
      </c>
      <c r="H22" s="10">
        <v>18.582999999999998</v>
      </c>
      <c r="I22" s="10">
        <v>0</v>
      </c>
      <c r="J22" s="10">
        <v>41.119</v>
      </c>
      <c r="K22" s="10">
        <v>0</v>
      </c>
      <c r="L22" s="13">
        <v>0</v>
      </c>
      <c r="M22" s="13">
        <v>3.4969999999999999</v>
      </c>
      <c r="N22" s="13">
        <v>0</v>
      </c>
      <c r="O22" s="13">
        <v>0</v>
      </c>
      <c r="P22" s="13">
        <v>0</v>
      </c>
      <c r="Q22" s="13">
        <v>5.194</v>
      </c>
      <c r="R22" s="13">
        <v>0</v>
      </c>
      <c r="S22" s="13">
        <v>2.847</v>
      </c>
      <c r="T22" s="13">
        <v>3.2160000000000002</v>
      </c>
      <c r="U22" s="13">
        <v>1.671</v>
      </c>
      <c r="V22" s="13">
        <v>0.76400000000000001</v>
      </c>
      <c r="W22" s="13">
        <v>0.75600000000000001</v>
      </c>
      <c r="X22" s="13">
        <v>1.482</v>
      </c>
      <c r="Y22" s="13">
        <v>0</v>
      </c>
      <c r="Z22" s="13">
        <v>17.57</v>
      </c>
      <c r="AA22" s="13">
        <v>0</v>
      </c>
      <c r="AB22" s="13">
        <v>0.79600000000000004</v>
      </c>
      <c r="AC22" s="13">
        <v>0</v>
      </c>
      <c r="AD22" s="13">
        <v>18.004999999999999</v>
      </c>
      <c r="AE22" s="13">
        <v>4.2779999999999996</v>
      </c>
      <c r="AF22" s="13">
        <v>20.035</v>
      </c>
      <c r="AG22" s="13">
        <v>0.16700000000000001</v>
      </c>
      <c r="AH22" s="13">
        <v>0</v>
      </c>
      <c r="AI22" s="13">
        <v>3.262</v>
      </c>
      <c r="AJ22" s="13">
        <v>0.438</v>
      </c>
      <c r="AK22" s="13">
        <v>0.33900000000000002</v>
      </c>
      <c r="AL22" s="13">
        <v>0</v>
      </c>
      <c r="AM22" s="13">
        <v>3.3420000000000001</v>
      </c>
      <c r="AN22" s="13">
        <v>6.8719999999999999</v>
      </c>
      <c r="AO22" s="13">
        <v>2.1659999999999999</v>
      </c>
      <c r="AP22" s="13">
        <v>23.532</v>
      </c>
      <c r="AQ22" s="10">
        <v>20.061</v>
      </c>
      <c r="AR22" s="10">
        <v>6.0650000000000004</v>
      </c>
      <c r="AS22" s="10">
        <v>5.0529999999999999</v>
      </c>
      <c r="AT22" s="10">
        <v>6.7539999999999996</v>
      </c>
      <c r="AU22" s="10">
        <v>0</v>
      </c>
      <c r="AV22" s="10">
        <v>3.504</v>
      </c>
      <c r="AW22" s="10">
        <v>0.45800000000000002</v>
      </c>
      <c r="AX22" s="10">
        <v>0</v>
      </c>
      <c r="AY22" s="10">
        <v>9.984</v>
      </c>
      <c r="AZ22" s="13">
        <v>0</v>
      </c>
      <c r="BA22" s="13">
        <v>0</v>
      </c>
      <c r="BB22" s="13">
        <v>0</v>
      </c>
      <c r="BC22" s="13">
        <v>0.501</v>
      </c>
      <c r="BD22" s="13">
        <v>0.34</v>
      </c>
      <c r="BE22" s="13">
        <v>0</v>
      </c>
      <c r="BF22" s="13">
        <v>0</v>
      </c>
      <c r="BG22" s="13">
        <v>0</v>
      </c>
      <c r="BH22" s="10">
        <v>3.1589999999999998</v>
      </c>
      <c r="BI22" s="10">
        <v>0</v>
      </c>
      <c r="BJ22" s="10">
        <v>0.4</v>
      </c>
      <c r="BK22" s="13">
        <v>0</v>
      </c>
      <c r="BL22" s="13">
        <v>0</v>
      </c>
      <c r="BM22" s="13">
        <v>25.792000000000002</v>
      </c>
      <c r="BN22" s="13">
        <v>12.821</v>
      </c>
      <c r="BO22" s="13">
        <v>24.338000000000001</v>
      </c>
      <c r="BP22" s="13">
        <v>1.3660000000000001</v>
      </c>
      <c r="BQ22" s="10">
        <v>2.9129999999999998</v>
      </c>
      <c r="BR22" s="10">
        <v>0</v>
      </c>
      <c r="BS22" s="10">
        <v>1.7989999999999999</v>
      </c>
      <c r="BT22" s="10">
        <v>0</v>
      </c>
      <c r="BU22" s="10">
        <v>0.74199999999999999</v>
      </c>
      <c r="BV22" s="10">
        <v>4.9530000000000003</v>
      </c>
      <c r="BW22" s="13">
        <v>0.747</v>
      </c>
      <c r="BX22" s="13">
        <v>0.35899999999999999</v>
      </c>
      <c r="BY22" s="13">
        <v>1.3340000000000001</v>
      </c>
      <c r="BZ22" s="13">
        <v>12.528</v>
      </c>
      <c r="CA22" s="13">
        <v>0</v>
      </c>
      <c r="CB22" s="13">
        <v>0</v>
      </c>
      <c r="CC22" s="13">
        <v>0</v>
      </c>
      <c r="CD22" s="13">
        <v>5.1660000000000004</v>
      </c>
      <c r="CE22" s="13">
        <v>7.5869999999999997</v>
      </c>
      <c r="CF22" s="13">
        <v>2.722</v>
      </c>
      <c r="CG22" s="13">
        <v>1.3160000000000001</v>
      </c>
      <c r="CH22" s="13">
        <v>2.149</v>
      </c>
      <c r="CI22" s="13">
        <v>0</v>
      </c>
      <c r="CJ22" s="13">
        <v>9.7880000000000003</v>
      </c>
      <c r="CK22" s="13">
        <v>0.64</v>
      </c>
      <c r="CL22" s="13">
        <v>0.127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0">
        <v>6.391</v>
      </c>
      <c r="CS22" s="10">
        <v>3.0529999999999999</v>
      </c>
      <c r="CT22" s="10">
        <v>2.9390000000000001</v>
      </c>
      <c r="CU22" s="10">
        <v>1.792</v>
      </c>
      <c r="CV22" s="10">
        <v>0</v>
      </c>
      <c r="CW22" s="10">
        <v>21.853999999999999</v>
      </c>
      <c r="CX22" s="10">
        <v>0</v>
      </c>
      <c r="CY22" s="10">
        <v>1.349</v>
      </c>
    </row>
    <row r="23" spans="1:103" x14ac:dyDescent="0.25">
      <c r="A23" s="5" t="s">
        <v>114</v>
      </c>
      <c r="B23" s="10">
        <v>91.834999999999994</v>
      </c>
      <c r="C23" s="10">
        <v>0.223</v>
      </c>
      <c r="D23" s="10">
        <v>0</v>
      </c>
      <c r="E23" s="10">
        <v>0</v>
      </c>
      <c r="F23" s="10">
        <v>0.71799999999999997</v>
      </c>
      <c r="G23" s="10">
        <v>0</v>
      </c>
      <c r="H23" s="10">
        <v>9.2910000000000004</v>
      </c>
      <c r="I23" s="10">
        <v>5.7350000000000003</v>
      </c>
      <c r="J23" s="10">
        <v>13.811999999999999</v>
      </c>
      <c r="K23" s="10">
        <v>52.853999999999999</v>
      </c>
      <c r="L23" s="13">
        <v>3.4969999999999999</v>
      </c>
      <c r="M23" s="13">
        <v>2.331</v>
      </c>
      <c r="N23" s="13">
        <v>0.76200000000000001</v>
      </c>
      <c r="O23" s="13">
        <v>0</v>
      </c>
      <c r="P23" s="13">
        <v>0</v>
      </c>
      <c r="Q23" s="13">
        <v>0</v>
      </c>
      <c r="R23" s="13">
        <v>1.079</v>
      </c>
      <c r="S23" s="13">
        <v>0.94899999999999995</v>
      </c>
      <c r="T23" s="13">
        <v>2.1749999999999998</v>
      </c>
      <c r="U23" s="13">
        <v>5.3650000000000002</v>
      </c>
      <c r="V23" s="13">
        <v>3.056</v>
      </c>
      <c r="W23" s="13">
        <v>0.378</v>
      </c>
      <c r="X23" s="13">
        <v>0.29599999999999999</v>
      </c>
      <c r="Y23" s="13">
        <v>4.2409999999999997</v>
      </c>
      <c r="Z23" s="13">
        <v>6.6929999999999996</v>
      </c>
      <c r="AA23" s="13">
        <v>0</v>
      </c>
      <c r="AB23" s="13">
        <v>0</v>
      </c>
      <c r="AC23" s="13">
        <v>0</v>
      </c>
      <c r="AD23" s="13">
        <v>8.4559999999999995</v>
      </c>
      <c r="AE23" s="13">
        <v>5.73</v>
      </c>
      <c r="AF23" s="13">
        <v>0.52800000000000002</v>
      </c>
      <c r="AG23" s="13">
        <v>0.5</v>
      </c>
      <c r="AH23" s="13">
        <v>5.3319999999999999</v>
      </c>
      <c r="AI23" s="13">
        <v>0.90600000000000003</v>
      </c>
      <c r="AJ23" s="13">
        <v>0</v>
      </c>
      <c r="AK23" s="13">
        <v>0.438</v>
      </c>
      <c r="AL23" s="13">
        <v>3.6259999999999999</v>
      </c>
      <c r="AM23" s="13">
        <v>0</v>
      </c>
      <c r="AN23" s="13">
        <v>15.805999999999999</v>
      </c>
      <c r="AO23" s="13">
        <v>17.510999999999999</v>
      </c>
      <c r="AP23" s="13">
        <v>15.688000000000001</v>
      </c>
      <c r="AQ23" s="10">
        <v>0</v>
      </c>
      <c r="AR23" s="10">
        <v>18.837</v>
      </c>
      <c r="AS23" s="10">
        <v>0</v>
      </c>
      <c r="AT23" s="10">
        <v>6.7539999999999996</v>
      </c>
      <c r="AU23" s="10">
        <v>6.4130000000000003</v>
      </c>
      <c r="AV23" s="10">
        <v>5.5</v>
      </c>
      <c r="AW23" s="10">
        <v>0.26900000000000002</v>
      </c>
      <c r="AX23" s="10">
        <v>2.726</v>
      </c>
      <c r="AY23" s="10">
        <v>9.984</v>
      </c>
      <c r="AZ23" s="13">
        <v>0.93300000000000005</v>
      </c>
      <c r="BA23" s="13">
        <v>0</v>
      </c>
      <c r="BB23" s="13">
        <v>0</v>
      </c>
      <c r="BC23" s="13">
        <v>0.16700000000000001</v>
      </c>
      <c r="BD23" s="13">
        <v>1.3620000000000001</v>
      </c>
      <c r="BE23" s="13">
        <v>0</v>
      </c>
      <c r="BF23" s="13">
        <v>3.2970000000000002</v>
      </c>
      <c r="BG23" s="13">
        <v>4.8179999999999996</v>
      </c>
      <c r="BH23" s="10">
        <v>0</v>
      </c>
      <c r="BI23" s="10">
        <v>0</v>
      </c>
      <c r="BJ23" s="10">
        <v>6.4349999999999996</v>
      </c>
      <c r="BK23" s="13">
        <v>24.963000000000001</v>
      </c>
      <c r="BL23" s="13">
        <v>23.082999999999998</v>
      </c>
      <c r="BM23" s="13">
        <v>32.063000000000002</v>
      </c>
      <c r="BN23" s="13">
        <v>12.821</v>
      </c>
      <c r="BO23" s="13">
        <v>8.1129999999999995</v>
      </c>
      <c r="BP23" s="13">
        <v>0</v>
      </c>
      <c r="BQ23" s="10">
        <v>1.204</v>
      </c>
      <c r="BR23" s="10">
        <v>6.24</v>
      </c>
      <c r="BS23" s="10">
        <v>0</v>
      </c>
      <c r="BT23" s="10">
        <v>4.431</v>
      </c>
      <c r="BU23" s="10">
        <v>4.524</v>
      </c>
      <c r="BV23" s="10">
        <v>2.0190000000000001</v>
      </c>
      <c r="BW23" s="13">
        <v>1.494</v>
      </c>
      <c r="BX23" s="13">
        <v>0.34200000000000003</v>
      </c>
      <c r="BY23" s="13">
        <v>0</v>
      </c>
      <c r="BZ23" s="13">
        <v>0</v>
      </c>
      <c r="CA23" s="13">
        <v>0</v>
      </c>
      <c r="CB23" s="13">
        <v>0</v>
      </c>
      <c r="CC23" s="13">
        <v>8.7260000000000009</v>
      </c>
      <c r="CD23" s="13">
        <v>32.536999999999999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0.76500000000000001</v>
      </c>
      <c r="CL23" s="13">
        <v>8.3819999999999997</v>
      </c>
      <c r="CM23" s="13">
        <v>2.0299999999999998</v>
      </c>
      <c r="CN23" s="13">
        <v>0</v>
      </c>
      <c r="CO23" s="13">
        <v>0</v>
      </c>
      <c r="CP23" s="13">
        <v>4.6130000000000004</v>
      </c>
      <c r="CQ23" s="13">
        <v>0</v>
      </c>
      <c r="CR23" s="10">
        <v>0</v>
      </c>
      <c r="CS23" s="10">
        <v>1.115</v>
      </c>
      <c r="CT23" s="10">
        <v>2.8490000000000002</v>
      </c>
      <c r="CU23" s="10">
        <v>1.792</v>
      </c>
      <c r="CV23" s="10">
        <v>0</v>
      </c>
      <c r="CW23" s="10">
        <v>13.53</v>
      </c>
      <c r="CX23" s="10">
        <v>0</v>
      </c>
      <c r="CY23" s="10">
        <v>0</v>
      </c>
    </row>
    <row r="24" spans="1:103" x14ac:dyDescent="0.25">
      <c r="A24" s="5" t="s">
        <v>113</v>
      </c>
      <c r="B24" s="10">
        <v>75.933999999999997</v>
      </c>
      <c r="C24" s="10">
        <v>2.3519999999999999</v>
      </c>
      <c r="D24" s="10">
        <v>1.3029999999999999</v>
      </c>
      <c r="E24" s="10">
        <v>4.3639999999999999</v>
      </c>
      <c r="F24" s="10">
        <v>0.52700000000000002</v>
      </c>
      <c r="G24" s="10">
        <v>0</v>
      </c>
      <c r="H24" s="10">
        <v>27.873999999999999</v>
      </c>
      <c r="I24" s="10">
        <v>2.6360000000000001</v>
      </c>
      <c r="J24" s="10">
        <v>0</v>
      </c>
      <c r="K24" s="10">
        <v>0</v>
      </c>
      <c r="L24" s="13">
        <v>2.331</v>
      </c>
      <c r="M24" s="13">
        <v>2.214</v>
      </c>
      <c r="N24" s="13">
        <v>0.254</v>
      </c>
      <c r="O24" s="13">
        <v>0.14000000000000001</v>
      </c>
      <c r="P24" s="13">
        <v>2.0859999999999999</v>
      </c>
      <c r="Q24" s="13">
        <v>0.313</v>
      </c>
      <c r="R24" s="13">
        <v>0</v>
      </c>
      <c r="S24" s="13">
        <v>1.423</v>
      </c>
      <c r="T24" s="13">
        <v>1.5489999999999999</v>
      </c>
      <c r="U24" s="13">
        <v>0</v>
      </c>
      <c r="V24" s="13">
        <v>0</v>
      </c>
      <c r="W24" s="13">
        <v>0.75600000000000001</v>
      </c>
      <c r="X24" s="13">
        <v>0.59299999999999997</v>
      </c>
      <c r="Y24" s="13">
        <v>8.3040000000000003</v>
      </c>
      <c r="Z24" s="13">
        <v>6.4180000000000001</v>
      </c>
      <c r="AA24" s="13">
        <v>11.353</v>
      </c>
      <c r="AB24" s="13">
        <v>0.91700000000000004</v>
      </c>
      <c r="AC24" s="13">
        <v>0</v>
      </c>
      <c r="AD24" s="13">
        <v>0</v>
      </c>
      <c r="AE24" s="13">
        <v>4.72</v>
      </c>
      <c r="AF24" s="13">
        <v>9.8529999999999998</v>
      </c>
      <c r="AG24" s="13">
        <v>0.5</v>
      </c>
      <c r="AH24" s="13">
        <v>3.9990000000000001</v>
      </c>
      <c r="AI24" s="13">
        <v>0</v>
      </c>
      <c r="AJ24" s="13">
        <v>0.625</v>
      </c>
      <c r="AK24" s="13">
        <v>0</v>
      </c>
      <c r="AL24" s="13">
        <v>15.949</v>
      </c>
      <c r="AM24" s="13">
        <v>0</v>
      </c>
      <c r="AN24" s="13">
        <v>17.367999999999999</v>
      </c>
      <c r="AO24" s="13">
        <v>12.5</v>
      </c>
      <c r="AP24" s="13">
        <v>0.71699999999999997</v>
      </c>
      <c r="AQ24" s="10">
        <v>22.91</v>
      </c>
      <c r="AR24" s="10">
        <v>16.052</v>
      </c>
      <c r="AS24" s="10">
        <v>5.0529999999999999</v>
      </c>
      <c r="AT24" s="10">
        <v>13.509</v>
      </c>
      <c r="AU24" s="10">
        <v>4.2640000000000002</v>
      </c>
      <c r="AV24" s="10">
        <v>4.8819999999999997</v>
      </c>
      <c r="AW24" s="10">
        <v>0</v>
      </c>
      <c r="AX24" s="10">
        <v>0</v>
      </c>
      <c r="AY24" s="10">
        <v>0</v>
      </c>
      <c r="AZ24" s="13">
        <v>0</v>
      </c>
      <c r="BA24" s="13">
        <v>0</v>
      </c>
      <c r="BB24" s="13">
        <v>0</v>
      </c>
      <c r="BC24" s="13">
        <v>0.28899999999999998</v>
      </c>
      <c r="BD24" s="13">
        <v>0.34</v>
      </c>
      <c r="BE24" s="13">
        <v>6.8230000000000004</v>
      </c>
      <c r="BF24" s="13">
        <v>0</v>
      </c>
      <c r="BG24" s="13">
        <v>1.6060000000000001</v>
      </c>
      <c r="BH24" s="10">
        <v>6.04</v>
      </c>
      <c r="BI24" s="10">
        <v>0</v>
      </c>
      <c r="BJ24" s="10">
        <v>2.145</v>
      </c>
      <c r="BK24" s="13">
        <v>12.481999999999999</v>
      </c>
      <c r="BL24" s="13">
        <v>0</v>
      </c>
      <c r="BM24" s="13">
        <v>0</v>
      </c>
      <c r="BN24" s="13">
        <v>25.640999999999998</v>
      </c>
      <c r="BO24" s="13">
        <v>8.1129999999999995</v>
      </c>
      <c r="BP24" s="13">
        <v>32.045999999999999</v>
      </c>
      <c r="BQ24" s="10">
        <v>2.9830000000000001</v>
      </c>
      <c r="BR24" s="10">
        <v>2.08</v>
      </c>
      <c r="BS24" s="10">
        <v>0</v>
      </c>
      <c r="BT24" s="10">
        <v>0</v>
      </c>
      <c r="BU24" s="10">
        <v>0.74199999999999999</v>
      </c>
      <c r="BV24" s="10">
        <v>0</v>
      </c>
      <c r="BW24" s="13">
        <v>0</v>
      </c>
      <c r="BX24" s="13">
        <v>0.73899999999999999</v>
      </c>
      <c r="BY24" s="13">
        <v>9.5009999999999994</v>
      </c>
      <c r="BZ24" s="13">
        <v>0</v>
      </c>
      <c r="CA24" s="13">
        <v>0</v>
      </c>
      <c r="CB24" s="13">
        <v>2.794</v>
      </c>
      <c r="CC24" s="13">
        <v>3.254</v>
      </c>
      <c r="CD24" s="13">
        <v>0.65700000000000003</v>
      </c>
      <c r="CE24" s="13">
        <v>18.265999999999998</v>
      </c>
      <c r="CF24" s="13">
        <v>14.885999999999999</v>
      </c>
      <c r="CG24" s="13">
        <v>1.359</v>
      </c>
      <c r="CH24" s="13">
        <v>2.0030000000000001</v>
      </c>
      <c r="CI24" s="13">
        <v>0.752</v>
      </c>
      <c r="CJ24" s="13">
        <v>0</v>
      </c>
      <c r="CK24" s="13">
        <v>4.1619999999999999</v>
      </c>
      <c r="CL24" s="13">
        <v>2.794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0">
        <v>0</v>
      </c>
      <c r="CS24" s="10">
        <v>2.6419999999999999</v>
      </c>
      <c r="CT24" s="10">
        <v>0</v>
      </c>
      <c r="CU24" s="10">
        <v>1.1950000000000001</v>
      </c>
      <c r="CV24" s="10">
        <v>0</v>
      </c>
      <c r="CW24" s="10">
        <v>6.89</v>
      </c>
      <c r="CX24" s="10">
        <v>0</v>
      </c>
      <c r="CY24" s="10">
        <v>1.349</v>
      </c>
    </row>
    <row r="25" spans="1:103" x14ac:dyDescent="0.25">
      <c r="A25" s="5" t="s">
        <v>112</v>
      </c>
      <c r="B25" s="10">
        <v>54.746000000000002</v>
      </c>
      <c r="C25" s="10">
        <v>4.3179999999999996</v>
      </c>
      <c r="D25" s="10">
        <v>0.86899999999999999</v>
      </c>
      <c r="E25" s="10">
        <v>0</v>
      </c>
      <c r="F25" s="10">
        <v>1.5820000000000001</v>
      </c>
      <c r="G25" s="10">
        <v>1.048</v>
      </c>
      <c r="H25" s="10">
        <v>1.123</v>
      </c>
      <c r="I25" s="10">
        <v>0</v>
      </c>
      <c r="J25" s="10">
        <v>38.451999999999998</v>
      </c>
      <c r="K25" s="10">
        <v>0</v>
      </c>
      <c r="L25" s="13">
        <v>2.214</v>
      </c>
      <c r="M25" s="13">
        <v>3.3220000000000001</v>
      </c>
      <c r="N25" s="13">
        <v>0.76200000000000001</v>
      </c>
      <c r="O25" s="13">
        <v>0</v>
      </c>
      <c r="P25" s="13">
        <v>0</v>
      </c>
      <c r="Q25" s="13">
        <v>0</v>
      </c>
      <c r="R25" s="13">
        <v>0.81</v>
      </c>
      <c r="S25" s="13">
        <v>2.8319999999999999</v>
      </c>
      <c r="T25" s="13">
        <v>3.2410000000000001</v>
      </c>
      <c r="U25" s="13">
        <v>1.788</v>
      </c>
      <c r="V25" s="13">
        <v>2.173</v>
      </c>
      <c r="W25" s="13">
        <v>0.75600000000000001</v>
      </c>
      <c r="X25" s="13">
        <v>0</v>
      </c>
      <c r="Y25" s="13">
        <v>0</v>
      </c>
      <c r="Z25" s="13">
        <v>15.646000000000001</v>
      </c>
      <c r="AA25" s="13">
        <v>7.569</v>
      </c>
      <c r="AB25" s="13">
        <v>0.67600000000000005</v>
      </c>
      <c r="AC25" s="13">
        <v>0</v>
      </c>
      <c r="AD25" s="13">
        <v>0</v>
      </c>
      <c r="AE25" s="13">
        <v>4.4219999999999997</v>
      </c>
      <c r="AF25" s="13">
        <v>4.0590000000000002</v>
      </c>
      <c r="AG25" s="13">
        <v>1.0089999999999999</v>
      </c>
      <c r="AH25" s="13">
        <v>6.2460000000000004</v>
      </c>
      <c r="AI25" s="13">
        <v>7.2949999999999999</v>
      </c>
      <c r="AJ25" s="13">
        <v>0</v>
      </c>
      <c r="AK25" s="13">
        <v>0.625</v>
      </c>
      <c r="AL25" s="13">
        <v>3.1659999999999999</v>
      </c>
      <c r="AM25" s="13">
        <v>14.281000000000001</v>
      </c>
      <c r="AN25" s="13">
        <v>0</v>
      </c>
      <c r="AO25" s="13">
        <v>3.4569999999999999</v>
      </c>
      <c r="AP25" s="13">
        <v>0</v>
      </c>
      <c r="AQ25" s="10">
        <v>5.32</v>
      </c>
      <c r="AR25" s="10">
        <v>39.902000000000001</v>
      </c>
      <c r="AS25" s="10">
        <v>0</v>
      </c>
      <c r="AT25" s="10">
        <v>0</v>
      </c>
      <c r="AU25" s="10">
        <v>0</v>
      </c>
      <c r="AV25" s="10">
        <v>4.2930000000000001</v>
      </c>
      <c r="AW25" s="10">
        <v>0.157</v>
      </c>
      <c r="AX25" s="10">
        <v>2.073</v>
      </c>
      <c r="AY25" s="10">
        <v>0</v>
      </c>
      <c r="AZ25" s="13">
        <v>0.58399999999999996</v>
      </c>
      <c r="BA25" s="13">
        <v>0</v>
      </c>
      <c r="BB25" s="13">
        <v>0</v>
      </c>
      <c r="BC25" s="13">
        <v>0.28899999999999998</v>
      </c>
      <c r="BD25" s="13">
        <v>0.79500000000000004</v>
      </c>
      <c r="BE25" s="13">
        <v>0</v>
      </c>
      <c r="BF25" s="13">
        <v>1.649</v>
      </c>
      <c r="BG25" s="13">
        <v>0</v>
      </c>
      <c r="BH25" s="10">
        <v>0</v>
      </c>
      <c r="BI25" s="10">
        <v>0</v>
      </c>
      <c r="BJ25" s="10">
        <v>2.0579999999999998</v>
      </c>
      <c r="BK25" s="13">
        <v>0</v>
      </c>
      <c r="BL25" s="13">
        <v>22.282</v>
      </c>
      <c r="BM25" s="13">
        <v>25.792000000000002</v>
      </c>
      <c r="BN25" s="13">
        <v>0</v>
      </c>
      <c r="BO25" s="13">
        <v>37.087000000000003</v>
      </c>
      <c r="BP25" s="13">
        <v>10.526</v>
      </c>
      <c r="BQ25" s="10">
        <v>2.6469999999999998</v>
      </c>
      <c r="BR25" s="10">
        <v>2.08</v>
      </c>
      <c r="BS25" s="10">
        <v>3.016</v>
      </c>
      <c r="BT25" s="10">
        <v>0</v>
      </c>
      <c r="BU25" s="10">
        <v>0</v>
      </c>
      <c r="BV25" s="10">
        <v>0</v>
      </c>
      <c r="BW25" s="13">
        <v>0</v>
      </c>
      <c r="BX25" s="13">
        <v>0.10100000000000001</v>
      </c>
      <c r="BY25" s="13">
        <v>15.987</v>
      </c>
      <c r="BZ25" s="13">
        <v>18.792000000000002</v>
      </c>
      <c r="CA25" s="13">
        <v>7.5730000000000004</v>
      </c>
      <c r="CB25" s="13">
        <v>6.1909999999999998</v>
      </c>
      <c r="CC25" s="13">
        <v>0</v>
      </c>
      <c r="CD25" s="13">
        <v>20.795999999999999</v>
      </c>
      <c r="CE25" s="13">
        <v>0</v>
      </c>
      <c r="CF25" s="13">
        <v>26.603000000000002</v>
      </c>
      <c r="CG25" s="13">
        <v>1.8360000000000001</v>
      </c>
      <c r="CH25" s="13">
        <v>0</v>
      </c>
      <c r="CI25" s="13">
        <v>0.83199999999999996</v>
      </c>
      <c r="CJ25" s="13">
        <v>26.806999999999999</v>
      </c>
      <c r="CK25" s="13">
        <v>0</v>
      </c>
      <c r="CL25" s="13">
        <v>0</v>
      </c>
      <c r="CM25" s="13">
        <v>3.415</v>
      </c>
      <c r="CN25" s="13">
        <v>0</v>
      </c>
      <c r="CO25" s="13">
        <v>6.0279999999999996</v>
      </c>
      <c r="CP25" s="13">
        <v>6.891</v>
      </c>
      <c r="CQ25" s="13">
        <v>0</v>
      </c>
      <c r="CR25" s="10">
        <v>1.6160000000000001</v>
      </c>
      <c r="CS25" s="10">
        <v>0.59399999999999997</v>
      </c>
      <c r="CT25" s="10">
        <v>0</v>
      </c>
      <c r="CU25" s="10">
        <v>0</v>
      </c>
      <c r="CV25" s="10">
        <v>0</v>
      </c>
      <c r="CW25" s="10">
        <v>13.535</v>
      </c>
      <c r="CX25" s="10">
        <v>0</v>
      </c>
      <c r="CY25" s="10">
        <v>0</v>
      </c>
    </row>
    <row r="26" spans="1:103" x14ac:dyDescent="0.25">
      <c r="A26" s="5" t="s">
        <v>111</v>
      </c>
      <c r="B26" s="10">
        <v>3.0870000000000002</v>
      </c>
      <c r="C26" s="10">
        <v>3.28</v>
      </c>
      <c r="D26" s="10">
        <v>0</v>
      </c>
      <c r="E26" s="10">
        <v>0</v>
      </c>
      <c r="F26" s="10">
        <v>0</v>
      </c>
      <c r="G26" s="10">
        <v>0</v>
      </c>
      <c r="H26" s="10">
        <v>30.940999999999999</v>
      </c>
      <c r="I26" s="10">
        <v>18.582999999999998</v>
      </c>
      <c r="J26" s="10">
        <v>0</v>
      </c>
      <c r="K26" s="10">
        <v>61.314</v>
      </c>
      <c r="L26" s="13">
        <v>3.3220000000000001</v>
      </c>
      <c r="M26" s="13">
        <v>5.5359999999999996</v>
      </c>
      <c r="N26" s="13">
        <v>0.76200000000000001</v>
      </c>
      <c r="O26" s="13">
        <v>0</v>
      </c>
      <c r="P26" s="13">
        <v>1.079</v>
      </c>
      <c r="Q26" s="13">
        <v>0</v>
      </c>
      <c r="R26" s="13">
        <v>0.39200000000000002</v>
      </c>
      <c r="S26" s="13">
        <v>0.82599999999999996</v>
      </c>
      <c r="T26" s="13">
        <v>2.0289999999999999</v>
      </c>
      <c r="U26" s="13">
        <v>1.788</v>
      </c>
      <c r="V26" s="13">
        <v>2.8969999999999998</v>
      </c>
      <c r="W26" s="13">
        <v>0.378</v>
      </c>
      <c r="X26" s="13">
        <v>0.59299999999999997</v>
      </c>
      <c r="Y26" s="13">
        <v>4.3680000000000003</v>
      </c>
      <c r="Z26" s="13">
        <v>0</v>
      </c>
      <c r="AA26" s="13">
        <v>10.614000000000001</v>
      </c>
      <c r="AB26" s="13">
        <v>0.39600000000000002</v>
      </c>
      <c r="AC26" s="13">
        <v>8.0530000000000008</v>
      </c>
      <c r="AD26" s="13">
        <v>12.244999999999999</v>
      </c>
      <c r="AE26" s="13">
        <v>0</v>
      </c>
      <c r="AF26" s="13">
        <v>0.69699999999999995</v>
      </c>
      <c r="AG26" s="13">
        <v>0</v>
      </c>
      <c r="AH26" s="13">
        <v>6.0650000000000004</v>
      </c>
      <c r="AI26" s="13">
        <v>2.734</v>
      </c>
      <c r="AJ26" s="13">
        <v>0</v>
      </c>
      <c r="AK26" s="13">
        <v>0</v>
      </c>
      <c r="AL26" s="13">
        <v>11.962</v>
      </c>
      <c r="AM26" s="13">
        <v>1.446</v>
      </c>
      <c r="AN26" s="13">
        <v>0</v>
      </c>
      <c r="AO26" s="13">
        <v>0</v>
      </c>
      <c r="AP26" s="13">
        <v>21.518999999999998</v>
      </c>
      <c r="AQ26" s="10">
        <v>0</v>
      </c>
      <c r="AR26" s="10">
        <v>16.052</v>
      </c>
      <c r="AS26" s="10">
        <v>6.2679999999999998</v>
      </c>
      <c r="AT26" s="10">
        <v>6.7539999999999996</v>
      </c>
      <c r="AU26" s="10">
        <v>6.431</v>
      </c>
      <c r="AV26" s="10">
        <v>4.8680000000000003</v>
      </c>
      <c r="AW26" s="10">
        <v>0</v>
      </c>
      <c r="AX26" s="10">
        <v>2.073</v>
      </c>
      <c r="AY26" s="10">
        <v>2.9809999999999999</v>
      </c>
      <c r="AZ26" s="13">
        <v>0.58399999999999996</v>
      </c>
      <c r="BA26" s="13">
        <v>1.238</v>
      </c>
      <c r="BB26" s="13">
        <v>0</v>
      </c>
      <c r="BC26" s="13">
        <v>0.28899999999999998</v>
      </c>
      <c r="BD26" s="13">
        <v>0.39700000000000002</v>
      </c>
      <c r="BE26" s="13">
        <v>1.67</v>
      </c>
      <c r="BF26" s="13">
        <v>3.8260000000000001</v>
      </c>
      <c r="BG26" s="13">
        <v>2.4580000000000002</v>
      </c>
      <c r="BH26" s="10">
        <v>4.5810000000000004</v>
      </c>
      <c r="BI26" s="10">
        <v>0</v>
      </c>
      <c r="BJ26" s="10">
        <v>8.6229999999999993</v>
      </c>
      <c r="BK26" s="13">
        <v>5.8</v>
      </c>
      <c r="BL26" s="13">
        <v>22.282</v>
      </c>
      <c r="BM26" s="13">
        <v>0</v>
      </c>
      <c r="BN26" s="13">
        <v>0</v>
      </c>
      <c r="BO26" s="13">
        <v>27.815000000000001</v>
      </c>
      <c r="BP26" s="13">
        <v>35.031999999999996</v>
      </c>
      <c r="BQ26" s="10">
        <v>0</v>
      </c>
      <c r="BR26" s="10">
        <v>3.9340000000000002</v>
      </c>
      <c r="BS26" s="10">
        <v>0</v>
      </c>
      <c r="BT26" s="10">
        <v>4.431</v>
      </c>
      <c r="BU26" s="10">
        <v>5.7480000000000002</v>
      </c>
      <c r="BV26" s="10">
        <v>1.0249999999999999</v>
      </c>
      <c r="BW26" s="13">
        <v>0</v>
      </c>
      <c r="BX26" s="13">
        <v>0.16900000000000001</v>
      </c>
      <c r="BY26" s="13">
        <v>33.948999999999998</v>
      </c>
      <c r="BZ26" s="13">
        <v>0</v>
      </c>
      <c r="CA26" s="13">
        <v>7.2770000000000001</v>
      </c>
      <c r="CB26" s="13">
        <v>20.247</v>
      </c>
      <c r="CC26" s="13">
        <v>20.949000000000002</v>
      </c>
      <c r="CD26" s="13">
        <v>0</v>
      </c>
      <c r="CE26" s="13">
        <v>10.403</v>
      </c>
      <c r="CF26" s="13">
        <v>5.0439999999999996</v>
      </c>
      <c r="CG26" s="13">
        <v>2.718</v>
      </c>
      <c r="CH26" s="13">
        <v>0</v>
      </c>
      <c r="CI26" s="13">
        <v>0.125</v>
      </c>
      <c r="CJ26" s="13">
        <v>0</v>
      </c>
      <c r="CK26" s="13">
        <v>0</v>
      </c>
      <c r="CL26" s="13">
        <v>4.399</v>
      </c>
      <c r="CM26" s="13">
        <v>3.9409999999999998</v>
      </c>
      <c r="CN26" s="13">
        <v>0</v>
      </c>
      <c r="CO26" s="13">
        <v>6.0279999999999996</v>
      </c>
      <c r="CP26" s="13">
        <v>0</v>
      </c>
      <c r="CQ26" s="13">
        <v>6.2320000000000002</v>
      </c>
      <c r="CR26" s="10">
        <v>0.32700000000000001</v>
      </c>
      <c r="CS26" s="10">
        <v>2.2050000000000001</v>
      </c>
      <c r="CT26" s="10">
        <v>0</v>
      </c>
      <c r="CU26" s="10">
        <v>1.9419999999999999</v>
      </c>
      <c r="CV26" s="10">
        <v>0</v>
      </c>
      <c r="CW26" s="10">
        <v>3.3839999999999999</v>
      </c>
      <c r="CX26" s="10">
        <v>0.378</v>
      </c>
      <c r="CY26" s="10">
        <v>0.67400000000000004</v>
      </c>
    </row>
    <row r="27" spans="1:103" x14ac:dyDescent="0.25">
      <c r="A27" s="5" t="s">
        <v>110</v>
      </c>
      <c r="B27" s="10">
        <v>39.868000000000002</v>
      </c>
      <c r="C27" s="10">
        <v>4.9189999999999996</v>
      </c>
      <c r="D27" s="10">
        <v>1.228</v>
      </c>
      <c r="E27" s="10">
        <v>4.3639999999999999</v>
      </c>
      <c r="F27" s="10">
        <v>1.0549999999999999</v>
      </c>
      <c r="G27" s="10">
        <v>5.3780000000000001</v>
      </c>
      <c r="H27" s="10">
        <v>0</v>
      </c>
      <c r="I27" s="10">
        <v>9.2910000000000004</v>
      </c>
      <c r="J27" s="10">
        <v>25.635000000000002</v>
      </c>
      <c r="K27" s="10">
        <v>2.2210000000000001</v>
      </c>
      <c r="L27" s="13">
        <v>5.5359999999999996</v>
      </c>
      <c r="M27" s="13">
        <v>2.214</v>
      </c>
      <c r="N27" s="13">
        <v>0.27400000000000002</v>
      </c>
      <c r="O27" s="13">
        <v>7.0000000000000007E-2</v>
      </c>
      <c r="P27" s="13">
        <v>0</v>
      </c>
      <c r="Q27" s="13">
        <v>0</v>
      </c>
      <c r="R27" s="13">
        <v>0</v>
      </c>
      <c r="S27" s="13">
        <v>1.8879999999999999</v>
      </c>
      <c r="T27" s="13">
        <v>1.621</v>
      </c>
      <c r="U27" s="13">
        <v>1.788</v>
      </c>
      <c r="V27" s="13">
        <v>0.72399999999999998</v>
      </c>
      <c r="W27" s="13">
        <v>0</v>
      </c>
      <c r="X27" s="13">
        <v>0.75900000000000001</v>
      </c>
      <c r="Y27" s="13">
        <v>2.6019999999999999</v>
      </c>
      <c r="Z27" s="13">
        <v>0</v>
      </c>
      <c r="AA27" s="13">
        <v>3.7839999999999998</v>
      </c>
      <c r="AB27" s="13">
        <v>0</v>
      </c>
      <c r="AC27" s="13">
        <v>0</v>
      </c>
      <c r="AD27" s="13">
        <v>8.1720000000000006</v>
      </c>
      <c r="AE27" s="13">
        <v>9.44</v>
      </c>
      <c r="AF27" s="13">
        <v>0.52800000000000002</v>
      </c>
      <c r="AG27" s="13">
        <v>1.0089999999999999</v>
      </c>
      <c r="AH27" s="13">
        <v>4.7510000000000003</v>
      </c>
      <c r="AI27" s="13">
        <v>1.387</v>
      </c>
      <c r="AJ27" s="13">
        <v>0</v>
      </c>
      <c r="AK27" s="13">
        <v>0</v>
      </c>
      <c r="AL27" s="13">
        <v>0</v>
      </c>
      <c r="AM27" s="13">
        <v>11.367000000000001</v>
      </c>
      <c r="AN27" s="13">
        <v>0</v>
      </c>
      <c r="AO27" s="13">
        <v>26.016999999999999</v>
      </c>
      <c r="AP27" s="13">
        <v>30.631</v>
      </c>
      <c r="AQ27" s="10">
        <v>5.7610000000000001</v>
      </c>
      <c r="AR27" s="10">
        <v>2.3530000000000002</v>
      </c>
      <c r="AS27" s="10">
        <v>9.4019999999999992</v>
      </c>
      <c r="AT27" s="10">
        <v>0</v>
      </c>
      <c r="AU27" s="10">
        <v>10.712999999999999</v>
      </c>
      <c r="AV27" s="10">
        <v>4.4029999999999996</v>
      </c>
      <c r="AW27" s="10">
        <v>0.314</v>
      </c>
      <c r="AX27" s="10">
        <v>0</v>
      </c>
      <c r="AY27" s="10">
        <v>8.4909999999999997</v>
      </c>
      <c r="AZ27" s="13">
        <v>0.58399999999999996</v>
      </c>
      <c r="BA27" s="13">
        <v>0</v>
      </c>
      <c r="BB27" s="13">
        <v>1.7</v>
      </c>
      <c r="BC27" s="13">
        <v>0.57899999999999996</v>
      </c>
      <c r="BD27" s="13">
        <v>0</v>
      </c>
      <c r="BE27" s="13">
        <v>3.34</v>
      </c>
      <c r="BF27" s="13">
        <v>1.706</v>
      </c>
      <c r="BG27" s="13">
        <v>2.1509999999999998</v>
      </c>
      <c r="BH27" s="10">
        <v>0</v>
      </c>
      <c r="BI27" s="10">
        <v>0</v>
      </c>
      <c r="BJ27" s="10">
        <v>2.2530000000000001</v>
      </c>
      <c r="BK27" s="13">
        <v>5.8</v>
      </c>
      <c r="BL27" s="13">
        <v>0</v>
      </c>
      <c r="BM27" s="13">
        <v>0</v>
      </c>
      <c r="BN27" s="13">
        <v>16.241</v>
      </c>
      <c r="BO27" s="13">
        <v>0</v>
      </c>
      <c r="BP27" s="13">
        <v>17.515999999999998</v>
      </c>
      <c r="BQ27" s="10">
        <v>0.22900000000000001</v>
      </c>
      <c r="BR27" s="10">
        <v>1.635</v>
      </c>
      <c r="BS27" s="10">
        <v>6.24</v>
      </c>
      <c r="BT27" s="10">
        <v>5.0629999999999997</v>
      </c>
      <c r="BU27" s="10">
        <v>3.8319999999999999</v>
      </c>
      <c r="BV27" s="10">
        <v>0</v>
      </c>
      <c r="BW27" s="13">
        <v>0</v>
      </c>
      <c r="BX27" s="13">
        <v>0.89700000000000002</v>
      </c>
      <c r="BY27" s="13">
        <v>0</v>
      </c>
      <c r="BZ27" s="13">
        <v>16.347999999999999</v>
      </c>
      <c r="CA27" s="13">
        <v>8.0640000000000001</v>
      </c>
      <c r="CB27" s="13">
        <v>33.295999999999999</v>
      </c>
      <c r="CC27" s="13">
        <v>19.946999999999999</v>
      </c>
      <c r="CD27" s="13">
        <v>19.952000000000002</v>
      </c>
      <c r="CE27" s="13">
        <v>0</v>
      </c>
      <c r="CF27" s="13">
        <v>42.948</v>
      </c>
      <c r="CG27" s="13">
        <v>2.7349999999999999</v>
      </c>
      <c r="CH27" s="13">
        <v>3.0049999999999999</v>
      </c>
      <c r="CI27" s="13">
        <v>0.125</v>
      </c>
      <c r="CJ27" s="13">
        <v>0</v>
      </c>
      <c r="CK27" s="13">
        <v>7.0970000000000004</v>
      </c>
      <c r="CL27" s="13">
        <v>3.8490000000000002</v>
      </c>
      <c r="CM27" s="13">
        <v>0</v>
      </c>
      <c r="CN27" s="13">
        <v>9.4510000000000005</v>
      </c>
      <c r="CO27" s="13">
        <v>1.8080000000000001</v>
      </c>
      <c r="CP27" s="13">
        <v>8.109</v>
      </c>
      <c r="CQ27" s="13">
        <v>0</v>
      </c>
      <c r="CR27" s="10">
        <v>0</v>
      </c>
      <c r="CS27" s="10">
        <v>0</v>
      </c>
      <c r="CT27" s="10">
        <v>6.266</v>
      </c>
      <c r="CU27" s="10">
        <v>1.2949999999999999</v>
      </c>
      <c r="CV27" s="10">
        <v>0</v>
      </c>
      <c r="CW27" s="10">
        <v>13.535</v>
      </c>
      <c r="CX27" s="10">
        <v>0</v>
      </c>
      <c r="CY27" s="10">
        <v>0</v>
      </c>
    </row>
    <row r="28" spans="1:103" x14ac:dyDescent="0.25">
      <c r="A28" s="5" t="s">
        <v>109</v>
      </c>
      <c r="B28" s="10">
        <v>57.536999999999999</v>
      </c>
      <c r="C28" s="10">
        <v>0</v>
      </c>
      <c r="D28" s="10">
        <v>0.61399999999999999</v>
      </c>
      <c r="E28" s="10">
        <v>0</v>
      </c>
      <c r="F28" s="10">
        <v>0</v>
      </c>
      <c r="G28" s="10">
        <v>0</v>
      </c>
      <c r="H28" s="10">
        <v>0</v>
      </c>
      <c r="I28" s="10">
        <v>27.873999999999999</v>
      </c>
      <c r="J28" s="10">
        <v>0</v>
      </c>
      <c r="K28" s="10">
        <v>0</v>
      </c>
      <c r="L28" s="13">
        <v>2.214</v>
      </c>
      <c r="M28" s="13">
        <v>3.1429999999999998</v>
      </c>
      <c r="N28" s="13">
        <v>1.643</v>
      </c>
      <c r="O28" s="13">
        <v>0.14000000000000001</v>
      </c>
      <c r="P28" s="13">
        <v>4.3159999999999998</v>
      </c>
      <c r="Q28" s="13">
        <v>0.313</v>
      </c>
      <c r="R28" s="13">
        <v>0</v>
      </c>
      <c r="S28" s="13">
        <v>0.82599999999999996</v>
      </c>
      <c r="T28" s="13">
        <v>3.2410000000000001</v>
      </c>
      <c r="U28" s="13">
        <v>0</v>
      </c>
      <c r="V28" s="13">
        <v>2.173</v>
      </c>
      <c r="W28" s="13">
        <v>0</v>
      </c>
      <c r="X28" s="13">
        <v>0.38</v>
      </c>
      <c r="Y28" s="13">
        <v>2.6019999999999999</v>
      </c>
      <c r="Z28" s="13">
        <v>1.2030000000000001</v>
      </c>
      <c r="AA28" s="13">
        <v>9.2780000000000005</v>
      </c>
      <c r="AB28" s="13">
        <v>0.39600000000000002</v>
      </c>
      <c r="AC28" s="13">
        <v>10.933999999999999</v>
      </c>
      <c r="AD28" s="13">
        <v>0</v>
      </c>
      <c r="AE28" s="13">
        <v>0</v>
      </c>
      <c r="AF28" s="13">
        <v>3.5459999999999998</v>
      </c>
      <c r="AG28" s="13">
        <v>0.33600000000000002</v>
      </c>
      <c r="AH28" s="13">
        <v>3.1669999999999998</v>
      </c>
      <c r="AI28" s="13">
        <v>5.6760000000000002</v>
      </c>
      <c r="AJ28" s="13">
        <v>0</v>
      </c>
      <c r="AK28" s="13">
        <v>0</v>
      </c>
      <c r="AL28" s="13">
        <v>3.9870000000000001</v>
      </c>
      <c r="AM28" s="13">
        <v>0</v>
      </c>
      <c r="AN28" s="13">
        <v>2.84</v>
      </c>
      <c r="AO28" s="13">
        <v>5.8949999999999996</v>
      </c>
      <c r="AP28" s="13">
        <v>10.210000000000001</v>
      </c>
      <c r="AQ28" s="10">
        <v>29.978999999999999</v>
      </c>
      <c r="AR28" s="10">
        <v>4.3470000000000004</v>
      </c>
      <c r="AS28" s="10">
        <v>9.4019999999999992</v>
      </c>
      <c r="AT28" s="10">
        <v>0</v>
      </c>
      <c r="AU28" s="10">
        <v>0</v>
      </c>
      <c r="AV28" s="10">
        <v>1.9259999999999999</v>
      </c>
      <c r="AW28" s="10">
        <v>0.39800000000000002</v>
      </c>
      <c r="AX28" s="10">
        <v>2.073</v>
      </c>
      <c r="AY28" s="10">
        <v>0</v>
      </c>
      <c r="AZ28" s="13">
        <v>0.4</v>
      </c>
      <c r="BA28" s="13">
        <v>0</v>
      </c>
      <c r="BB28" s="13">
        <v>0</v>
      </c>
      <c r="BC28" s="13">
        <v>0</v>
      </c>
      <c r="BD28" s="13">
        <v>1.1919999999999999</v>
      </c>
      <c r="BE28" s="13">
        <v>0</v>
      </c>
      <c r="BF28" s="13">
        <v>1.706</v>
      </c>
      <c r="BG28" s="13">
        <v>4.3010000000000002</v>
      </c>
      <c r="BH28" s="10">
        <v>0.48799999999999999</v>
      </c>
      <c r="BI28" s="10">
        <v>0</v>
      </c>
      <c r="BJ28" s="10">
        <v>0</v>
      </c>
      <c r="BK28" s="13">
        <v>0</v>
      </c>
      <c r="BL28" s="13">
        <v>1.841</v>
      </c>
      <c r="BM28" s="13">
        <v>0</v>
      </c>
      <c r="BN28" s="13">
        <v>18.786999999999999</v>
      </c>
      <c r="BO28" s="13">
        <v>5.6390000000000002</v>
      </c>
      <c r="BP28" s="13">
        <v>17.515999999999998</v>
      </c>
      <c r="BQ28" s="10">
        <v>1.4219999999999999</v>
      </c>
      <c r="BR28" s="10">
        <v>1.635</v>
      </c>
      <c r="BS28" s="10">
        <v>2.08</v>
      </c>
      <c r="BT28" s="10">
        <v>0</v>
      </c>
      <c r="BU28" s="10">
        <v>0</v>
      </c>
      <c r="BV28" s="10">
        <v>2.0499999999999998</v>
      </c>
      <c r="BW28" s="13">
        <v>0</v>
      </c>
      <c r="BX28" s="13">
        <v>0.215</v>
      </c>
      <c r="BY28" s="13">
        <v>0</v>
      </c>
      <c r="BZ28" s="13">
        <v>8.1739999999999995</v>
      </c>
      <c r="CA28" s="13">
        <v>0</v>
      </c>
      <c r="CB28" s="13">
        <v>0</v>
      </c>
      <c r="CC28" s="13">
        <v>0.80100000000000005</v>
      </c>
      <c r="CD28" s="13">
        <v>19.504000000000001</v>
      </c>
      <c r="CE28" s="13">
        <v>17.457000000000001</v>
      </c>
      <c r="CF28" s="13">
        <v>14.766</v>
      </c>
      <c r="CG28" s="13">
        <v>1.014</v>
      </c>
      <c r="CH28" s="13">
        <v>0</v>
      </c>
      <c r="CI28" s="13">
        <v>3.2010000000000001</v>
      </c>
      <c r="CJ28" s="13">
        <v>4.1139999999999999</v>
      </c>
      <c r="CK28" s="13">
        <v>3.548</v>
      </c>
      <c r="CL28" s="13">
        <v>7.6980000000000004</v>
      </c>
      <c r="CM28" s="13">
        <v>8.9350000000000005</v>
      </c>
      <c r="CN28" s="13">
        <v>0</v>
      </c>
      <c r="CO28" s="13">
        <v>3.6160000000000001</v>
      </c>
      <c r="CP28" s="13">
        <v>2.9780000000000002</v>
      </c>
      <c r="CQ28" s="13">
        <v>0</v>
      </c>
      <c r="CR28" s="10">
        <v>2.319</v>
      </c>
      <c r="CS28" s="10">
        <v>2.2669999999999999</v>
      </c>
      <c r="CT28" s="10">
        <v>2.4089999999999998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</row>
    <row r="29" spans="1:103" x14ac:dyDescent="0.25">
      <c r="A29" s="5" t="s">
        <v>108</v>
      </c>
      <c r="B29" s="10">
        <v>23.033000000000001</v>
      </c>
      <c r="C29" s="10">
        <v>8.1850000000000005</v>
      </c>
      <c r="D29" s="10">
        <v>0</v>
      </c>
      <c r="E29" s="10">
        <v>3.5209999999999999</v>
      </c>
      <c r="F29" s="10">
        <v>0</v>
      </c>
      <c r="G29" s="10">
        <v>0</v>
      </c>
      <c r="H29" s="10">
        <v>0</v>
      </c>
      <c r="I29" s="10">
        <v>1.123</v>
      </c>
      <c r="J29" s="10">
        <v>0.82</v>
      </c>
      <c r="K29" s="10">
        <v>49.478000000000002</v>
      </c>
      <c r="L29" s="13">
        <v>3.1429999999999998</v>
      </c>
      <c r="M29" s="13">
        <v>0.68</v>
      </c>
      <c r="N29" s="13">
        <v>0.27400000000000002</v>
      </c>
      <c r="O29" s="13">
        <v>0</v>
      </c>
      <c r="P29" s="13">
        <v>2.1579999999999999</v>
      </c>
      <c r="Q29" s="13">
        <v>0</v>
      </c>
      <c r="R29" s="13">
        <v>0.43</v>
      </c>
      <c r="S29" s="13">
        <v>0</v>
      </c>
      <c r="T29" s="13">
        <v>1.621</v>
      </c>
      <c r="U29" s="13">
        <v>2.8519999999999999</v>
      </c>
      <c r="V29" s="13">
        <v>0</v>
      </c>
      <c r="W29" s="13">
        <v>2.73</v>
      </c>
      <c r="X29" s="13">
        <v>0.75900000000000001</v>
      </c>
      <c r="Y29" s="13">
        <v>0</v>
      </c>
      <c r="Z29" s="13">
        <v>5.2149999999999999</v>
      </c>
      <c r="AA29" s="13">
        <v>0</v>
      </c>
      <c r="AB29" s="13">
        <v>0</v>
      </c>
      <c r="AC29" s="13">
        <v>19.989000000000001</v>
      </c>
      <c r="AD29" s="13">
        <v>0</v>
      </c>
      <c r="AE29" s="13">
        <v>0</v>
      </c>
      <c r="AF29" s="13">
        <v>10.98</v>
      </c>
      <c r="AG29" s="13">
        <v>1.3460000000000001</v>
      </c>
      <c r="AH29" s="13">
        <v>0</v>
      </c>
      <c r="AI29" s="13">
        <v>1.7529999999999999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3.6230000000000002</v>
      </c>
      <c r="AP29" s="13">
        <v>9.8209999999999997</v>
      </c>
      <c r="AQ29" s="10">
        <v>2.343</v>
      </c>
      <c r="AR29" s="10">
        <v>15.481</v>
      </c>
      <c r="AS29" s="10">
        <v>6.2679999999999998</v>
      </c>
      <c r="AT29" s="10">
        <v>0</v>
      </c>
      <c r="AU29" s="10">
        <v>0</v>
      </c>
      <c r="AV29" s="10">
        <v>1.9259999999999999</v>
      </c>
      <c r="AW29" s="10">
        <v>0.25900000000000001</v>
      </c>
      <c r="AX29" s="10">
        <v>2.073</v>
      </c>
      <c r="AY29" s="10">
        <v>8.4909999999999997</v>
      </c>
      <c r="AZ29" s="13">
        <v>0.627</v>
      </c>
      <c r="BA29" s="13">
        <v>0</v>
      </c>
      <c r="BB29" s="13">
        <v>0</v>
      </c>
      <c r="BC29" s="13">
        <v>0</v>
      </c>
      <c r="BD29" s="13">
        <v>0.79500000000000004</v>
      </c>
      <c r="BE29" s="13">
        <v>0</v>
      </c>
      <c r="BF29" s="13">
        <v>0</v>
      </c>
      <c r="BG29" s="13">
        <v>0</v>
      </c>
      <c r="BH29" s="10">
        <v>6.6669999999999998</v>
      </c>
      <c r="BI29" s="10">
        <v>0</v>
      </c>
      <c r="BJ29" s="10">
        <v>0</v>
      </c>
      <c r="BK29" s="13">
        <v>4.5720000000000001</v>
      </c>
      <c r="BL29" s="13">
        <v>0</v>
      </c>
      <c r="BM29" s="13">
        <v>50.558999999999997</v>
      </c>
      <c r="BN29" s="13">
        <v>0</v>
      </c>
      <c r="BO29" s="13">
        <v>5.6390000000000002</v>
      </c>
      <c r="BP29" s="13">
        <v>0</v>
      </c>
      <c r="BQ29" s="10">
        <v>0.186</v>
      </c>
      <c r="BR29" s="10">
        <v>1.635</v>
      </c>
      <c r="BS29" s="10">
        <v>2.08</v>
      </c>
      <c r="BT29" s="10">
        <v>2.74</v>
      </c>
      <c r="BU29" s="10">
        <v>0</v>
      </c>
      <c r="BV29" s="10">
        <v>2.5710000000000002</v>
      </c>
      <c r="BW29" s="13">
        <v>0</v>
      </c>
      <c r="BX29" s="13">
        <v>0.24099999999999999</v>
      </c>
      <c r="BY29" s="13">
        <v>0</v>
      </c>
      <c r="BZ29" s="13">
        <v>9.0129999999999999</v>
      </c>
      <c r="CA29" s="13">
        <v>13.896000000000001</v>
      </c>
      <c r="CB29" s="13">
        <v>0</v>
      </c>
      <c r="CC29" s="13">
        <v>61.863999999999997</v>
      </c>
      <c r="CD29" s="13">
        <v>35.729999999999997</v>
      </c>
      <c r="CE29" s="13">
        <v>11.632999999999999</v>
      </c>
      <c r="CF29" s="13">
        <v>16.870999999999999</v>
      </c>
      <c r="CG29" s="13">
        <v>0</v>
      </c>
      <c r="CH29" s="13">
        <v>2.508</v>
      </c>
      <c r="CI29" s="13">
        <v>0.88900000000000001</v>
      </c>
      <c r="CJ29" s="13">
        <v>0</v>
      </c>
      <c r="CK29" s="13">
        <v>3.6240000000000001</v>
      </c>
      <c r="CL29" s="13">
        <v>0</v>
      </c>
      <c r="CM29" s="13">
        <v>2.5750000000000002</v>
      </c>
      <c r="CN29" s="13">
        <v>13.12</v>
      </c>
      <c r="CO29" s="13">
        <v>3.6160000000000001</v>
      </c>
      <c r="CP29" s="13">
        <v>0</v>
      </c>
      <c r="CQ29" s="13">
        <v>4.2480000000000002</v>
      </c>
      <c r="CR29" s="10">
        <v>4.9569999999999999</v>
      </c>
      <c r="CS29" s="10">
        <v>0</v>
      </c>
      <c r="CT29" s="10">
        <v>0</v>
      </c>
      <c r="CU29" s="10">
        <v>1.2949999999999999</v>
      </c>
      <c r="CV29" s="10">
        <v>0</v>
      </c>
      <c r="CW29" s="10">
        <v>12.253</v>
      </c>
      <c r="CX29" s="10">
        <v>0</v>
      </c>
      <c r="CY29" s="10">
        <v>1.2130000000000001</v>
      </c>
    </row>
    <row r="30" spans="1:103" x14ac:dyDescent="0.25">
      <c r="A30" s="5" t="s">
        <v>107</v>
      </c>
      <c r="B30" s="10">
        <v>48.317</v>
      </c>
      <c r="C30" s="10">
        <v>2.4460000000000002</v>
      </c>
      <c r="D30" s="10">
        <v>0</v>
      </c>
      <c r="E30" s="10">
        <v>10.564</v>
      </c>
      <c r="F30" s="10">
        <v>0</v>
      </c>
      <c r="G30" s="10">
        <v>0</v>
      </c>
      <c r="H30" s="10">
        <v>7.7350000000000003</v>
      </c>
      <c r="I30" s="10">
        <v>30.940999999999999</v>
      </c>
      <c r="J30" s="10">
        <v>4.2999999999999997E-2</v>
      </c>
      <c r="K30" s="10">
        <v>2.2210000000000001</v>
      </c>
      <c r="L30" s="13">
        <v>0.68</v>
      </c>
      <c r="M30" s="13">
        <v>2.391</v>
      </c>
      <c r="N30" s="13">
        <v>0.54800000000000004</v>
      </c>
      <c r="O30" s="13">
        <v>0.24299999999999999</v>
      </c>
      <c r="P30" s="13">
        <v>3.1960000000000002</v>
      </c>
      <c r="Q30" s="13">
        <v>1.978</v>
      </c>
      <c r="R30" s="13">
        <v>0</v>
      </c>
      <c r="S30" s="13">
        <v>0</v>
      </c>
      <c r="T30" s="13">
        <v>3.968</v>
      </c>
      <c r="U30" s="13">
        <v>0.95099999999999996</v>
      </c>
      <c r="V30" s="13">
        <v>0.90500000000000003</v>
      </c>
      <c r="W30" s="13">
        <v>1.365</v>
      </c>
      <c r="X30" s="13">
        <v>1.8979999999999999</v>
      </c>
      <c r="Y30" s="13">
        <v>8.2349999999999994</v>
      </c>
      <c r="Z30" s="13">
        <v>7.8449999999999998</v>
      </c>
      <c r="AA30" s="13">
        <v>9.2999999999999999E-2</v>
      </c>
      <c r="AB30" s="13">
        <v>0</v>
      </c>
      <c r="AC30" s="13">
        <v>10.936</v>
      </c>
      <c r="AD30" s="13">
        <v>18.754999999999999</v>
      </c>
      <c r="AE30" s="13">
        <v>6.234</v>
      </c>
      <c r="AF30" s="13">
        <v>4.5460000000000003</v>
      </c>
      <c r="AG30" s="13">
        <v>0.81699999999999995</v>
      </c>
      <c r="AH30" s="13">
        <v>1.5840000000000001</v>
      </c>
      <c r="AI30" s="13">
        <v>1.0629999999999999</v>
      </c>
      <c r="AJ30" s="13">
        <v>0.53400000000000003</v>
      </c>
      <c r="AK30" s="13">
        <v>0</v>
      </c>
      <c r="AL30" s="13">
        <v>31.367000000000001</v>
      </c>
      <c r="AM30" s="13">
        <v>0</v>
      </c>
      <c r="AN30" s="13">
        <v>0</v>
      </c>
      <c r="AO30" s="13">
        <v>0</v>
      </c>
      <c r="AP30" s="13">
        <v>17.937000000000001</v>
      </c>
      <c r="AQ30" s="10">
        <v>0</v>
      </c>
      <c r="AR30" s="10">
        <v>7.7409999999999997</v>
      </c>
      <c r="AS30" s="10">
        <v>9.4019999999999992</v>
      </c>
      <c r="AT30" s="10">
        <v>0</v>
      </c>
      <c r="AU30" s="10">
        <v>5.4130000000000003</v>
      </c>
      <c r="AV30" s="10">
        <v>1.9259999999999999</v>
      </c>
      <c r="AW30" s="10">
        <v>8.8999999999999996E-2</v>
      </c>
      <c r="AX30" s="10">
        <v>3.4140000000000001</v>
      </c>
      <c r="AY30" s="10">
        <v>16.981000000000002</v>
      </c>
      <c r="AZ30" s="13">
        <v>0.314</v>
      </c>
      <c r="BA30" s="13">
        <v>0</v>
      </c>
      <c r="BB30" s="13">
        <v>0</v>
      </c>
      <c r="BC30" s="13">
        <v>0.17399999999999999</v>
      </c>
      <c r="BD30" s="13">
        <v>0.89700000000000002</v>
      </c>
      <c r="BE30" s="13">
        <v>0</v>
      </c>
      <c r="BF30" s="13">
        <v>3.411</v>
      </c>
      <c r="BG30" s="13">
        <v>0</v>
      </c>
      <c r="BH30" s="10">
        <v>1.637</v>
      </c>
      <c r="BI30" s="10">
        <v>2.754</v>
      </c>
      <c r="BJ30" s="10">
        <v>2.5960000000000001</v>
      </c>
      <c r="BK30" s="13">
        <v>0</v>
      </c>
      <c r="BL30" s="13">
        <v>9.798</v>
      </c>
      <c r="BM30" s="13">
        <v>0</v>
      </c>
      <c r="BN30" s="13">
        <v>0</v>
      </c>
      <c r="BO30" s="13">
        <v>41.709000000000003</v>
      </c>
      <c r="BP30" s="13">
        <v>47.143000000000001</v>
      </c>
      <c r="BQ30" s="10">
        <v>0.22800000000000001</v>
      </c>
      <c r="BR30" s="10">
        <v>4.9039999999999999</v>
      </c>
      <c r="BS30" s="10">
        <v>3.9340000000000002</v>
      </c>
      <c r="BT30" s="10">
        <v>5.48</v>
      </c>
      <c r="BU30" s="10">
        <v>2.6179999999999999</v>
      </c>
      <c r="BV30" s="10">
        <v>3.5960000000000001</v>
      </c>
      <c r="BW30" s="13">
        <v>0</v>
      </c>
      <c r="BX30" s="13">
        <v>0</v>
      </c>
      <c r="BY30" s="13">
        <v>0</v>
      </c>
      <c r="BZ30" s="13">
        <v>19.565999999999999</v>
      </c>
      <c r="CA30" s="13">
        <v>8.2059999999999995</v>
      </c>
      <c r="CB30" s="13">
        <v>0</v>
      </c>
      <c r="CC30" s="13">
        <v>25.648</v>
      </c>
      <c r="CD30" s="13">
        <v>11.465999999999999</v>
      </c>
      <c r="CE30" s="13">
        <v>6.6269999999999998</v>
      </c>
      <c r="CF30" s="13">
        <v>22.199000000000002</v>
      </c>
      <c r="CG30" s="13">
        <v>0</v>
      </c>
      <c r="CH30" s="13">
        <v>1.254</v>
      </c>
      <c r="CI30" s="13">
        <v>0</v>
      </c>
      <c r="CJ30" s="13">
        <v>16.911000000000001</v>
      </c>
      <c r="CK30" s="13">
        <v>8.9190000000000005</v>
      </c>
      <c r="CL30" s="13">
        <v>0</v>
      </c>
      <c r="CM30" s="13">
        <v>2.5750000000000002</v>
      </c>
      <c r="CN30" s="13">
        <v>12.741</v>
      </c>
      <c r="CO30" s="13">
        <v>5.4240000000000004</v>
      </c>
      <c r="CP30" s="13">
        <v>0</v>
      </c>
      <c r="CQ30" s="13">
        <v>17.097999999999999</v>
      </c>
      <c r="CR30" s="10">
        <v>0.83299999999999996</v>
      </c>
      <c r="CS30" s="10">
        <v>1.3080000000000001</v>
      </c>
      <c r="CT30" s="10">
        <v>8.2319999999999993</v>
      </c>
      <c r="CU30" s="10">
        <v>0.34399999999999997</v>
      </c>
      <c r="CV30" s="10">
        <v>0</v>
      </c>
      <c r="CW30" s="10">
        <v>0</v>
      </c>
      <c r="CX30" s="10">
        <v>1.454</v>
      </c>
      <c r="CY30" s="10">
        <v>1.2130000000000001</v>
      </c>
    </row>
    <row r="31" spans="1:103" x14ac:dyDescent="0.25">
      <c r="A31" s="5" t="s">
        <v>106</v>
      </c>
      <c r="B31" s="10">
        <v>48.317</v>
      </c>
      <c r="C31" s="10">
        <v>0</v>
      </c>
      <c r="D31" s="10">
        <v>0.61399999999999999</v>
      </c>
      <c r="E31" s="10">
        <v>0</v>
      </c>
      <c r="F31" s="10">
        <v>0</v>
      </c>
      <c r="G31" s="10">
        <v>0</v>
      </c>
      <c r="H31" s="10">
        <v>32.222999999999999</v>
      </c>
      <c r="I31" s="10">
        <v>0</v>
      </c>
      <c r="J31" s="10">
        <v>21.847999999999999</v>
      </c>
      <c r="K31" s="10">
        <v>2.3140000000000001</v>
      </c>
      <c r="L31" s="13">
        <v>2.391</v>
      </c>
      <c r="M31" s="13">
        <v>0</v>
      </c>
      <c r="N31" s="13">
        <v>0.54800000000000004</v>
      </c>
      <c r="O31" s="13">
        <v>0.122</v>
      </c>
      <c r="P31" s="13">
        <v>0</v>
      </c>
      <c r="Q31" s="13">
        <v>0.98899999999999999</v>
      </c>
      <c r="R31" s="13">
        <v>0</v>
      </c>
      <c r="S31" s="13">
        <v>1.595</v>
      </c>
      <c r="T31" s="13">
        <v>1.5189999999999999</v>
      </c>
      <c r="U31" s="13">
        <v>0</v>
      </c>
      <c r="V31" s="13">
        <v>0</v>
      </c>
      <c r="W31" s="13">
        <v>0</v>
      </c>
      <c r="X31" s="13">
        <v>0.75900000000000001</v>
      </c>
      <c r="Y31" s="13">
        <v>2.6019999999999999</v>
      </c>
      <c r="Z31" s="13">
        <v>11.083</v>
      </c>
      <c r="AA31" s="13">
        <v>6.9580000000000002</v>
      </c>
      <c r="AB31" s="13">
        <v>0</v>
      </c>
      <c r="AC31" s="13">
        <v>0</v>
      </c>
      <c r="AD31" s="13">
        <v>7.7759999999999998</v>
      </c>
      <c r="AE31" s="13">
        <v>0</v>
      </c>
      <c r="AF31" s="13">
        <v>4.6420000000000003</v>
      </c>
      <c r="AG31" s="13">
        <v>0</v>
      </c>
      <c r="AH31" s="13">
        <v>1.5840000000000001</v>
      </c>
      <c r="AI31" s="13">
        <v>1.7529999999999999</v>
      </c>
      <c r="AJ31" s="13">
        <v>0</v>
      </c>
      <c r="AK31" s="13">
        <v>0.53400000000000003</v>
      </c>
      <c r="AL31" s="13">
        <v>6.4770000000000003</v>
      </c>
      <c r="AM31" s="13">
        <v>0</v>
      </c>
      <c r="AN31" s="13">
        <v>0</v>
      </c>
      <c r="AO31" s="13">
        <v>7.2460000000000004</v>
      </c>
      <c r="AP31" s="13">
        <v>0</v>
      </c>
      <c r="AQ31" s="10">
        <v>10.874000000000001</v>
      </c>
      <c r="AR31" s="10">
        <v>25.731000000000002</v>
      </c>
      <c r="AS31" s="10">
        <v>3.5819999999999999</v>
      </c>
      <c r="AT31" s="10">
        <v>0</v>
      </c>
      <c r="AU31" s="10">
        <v>0</v>
      </c>
      <c r="AV31" s="10">
        <v>0</v>
      </c>
      <c r="AW31" s="10">
        <v>0.30099999999999999</v>
      </c>
      <c r="AX31" s="10">
        <v>0</v>
      </c>
      <c r="AY31" s="10">
        <v>4.9749999999999996</v>
      </c>
      <c r="AZ31" s="13">
        <v>0.19400000000000001</v>
      </c>
      <c r="BA31" s="13">
        <v>0</v>
      </c>
      <c r="BB31" s="13">
        <v>0</v>
      </c>
      <c r="BC31" s="13">
        <v>0.17399999999999999</v>
      </c>
      <c r="BD31" s="13">
        <v>0.89700000000000002</v>
      </c>
      <c r="BE31" s="13">
        <v>0</v>
      </c>
      <c r="BF31" s="13">
        <v>3.4350000000000001</v>
      </c>
      <c r="BG31" s="13">
        <v>2.5539999999999998</v>
      </c>
      <c r="BH31" s="10">
        <v>1.4890000000000001</v>
      </c>
      <c r="BI31" s="10">
        <v>0.86499999999999999</v>
      </c>
      <c r="BJ31" s="10">
        <v>3.1259999999999999</v>
      </c>
      <c r="BK31" s="13">
        <v>1.171</v>
      </c>
      <c r="BL31" s="13">
        <v>0</v>
      </c>
      <c r="BM31" s="13">
        <v>24.073</v>
      </c>
      <c r="BN31" s="13">
        <v>21.334</v>
      </c>
      <c r="BO31" s="13">
        <v>11.278</v>
      </c>
      <c r="BP31" s="13">
        <v>0</v>
      </c>
      <c r="BQ31" s="10">
        <v>0</v>
      </c>
      <c r="BR31" s="10">
        <v>4.9039999999999999</v>
      </c>
      <c r="BS31" s="10">
        <v>1.635</v>
      </c>
      <c r="BT31" s="10">
        <v>2.74</v>
      </c>
      <c r="BU31" s="10">
        <v>2.6179999999999999</v>
      </c>
      <c r="BV31" s="10">
        <v>3.3940000000000001</v>
      </c>
      <c r="BW31" s="13">
        <v>0.31</v>
      </c>
      <c r="BX31" s="13">
        <v>0.182</v>
      </c>
      <c r="BY31" s="13">
        <v>0</v>
      </c>
      <c r="BZ31" s="13">
        <v>0</v>
      </c>
      <c r="CA31" s="13">
        <v>17.663</v>
      </c>
      <c r="CB31" s="13">
        <v>0</v>
      </c>
      <c r="CC31" s="13">
        <v>2.7010000000000001</v>
      </c>
      <c r="CD31" s="13">
        <v>0.52500000000000002</v>
      </c>
      <c r="CE31" s="13">
        <v>6.524</v>
      </c>
      <c r="CF31" s="13">
        <v>23.544</v>
      </c>
      <c r="CG31" s="13">
        <v>0</v>
      </c>
      <c r="CH31" s="13">
        <v>1.907</v>
      </c>
      <c r="CI31" s="13">
        <v>1.667</v>
      </c>
      <c r="CJ31" s="13">
        <v>19.327000000000002</v>
      </c>
      <c r="CK31" s="13">
        <v>3.2040000000000002</v>
      </c>
      <c r="CL31" s="13">
        <v>4.6989999999999998</v>
      </c>
      <c r="CM31" s="13">
        <v>2.5750000000000002</v>
      </c>
      <c r="CN31" s="13">
        <v>12.741</v>
      </c>
      <c r="CO31" s="13">
        <v>5.4240000000000004</v>
      </c>
      <c r="CP31" s="13">
        <v>7.8540000000000001</v>
      </c>
      <c r="CQ31" s="13">
        <v>2.5880000000000001</v>
      </c>
      <c r="CR31" s="10">
        <v>0</v>
      </c>
      <c r="CS31" s="10">
        <v>0.876</v>
      </c>
      <c r="CT31" s="10">
        <v>1.768</v>
      </c>
      <c r="CU31" s="10">
        <v>1.0309999999999999</v>
      </c>
      <c r="CV31" s="10">
        <v>0</v>
      </c>
      <c r="CW31" s="10">
        <v>5.4960000000000004</v>
      </c>
      <c r="CX31" s="10">
        <v>0</v>
      </c>
      <c r="CY31" s="10">
        <v>0</v>
      </c>
    </row>
    <row r="32" spans="1:103" x14ac:dyDescent="0.25">
      <c r="A32" s="5" t="s">
        <v>105</v>
      </c>
      <c r="B32" s="10">
        <v>17.623999999999999</v>
      </c>
      <c r="C32" s="10">
        <v>8.484</v>
      </c>
      <c r="D32" s="10">
        <v>1.228</v>
      </c>
      <c r="E32" s="10">
        <v>0</v>
      </c>
      <c r="F32" s="10">
        <v>1.204</v>
      </c>
      <c r="G32" s="10">
        <v>22.245000000000001</v>
      </c>
      <c r="H32" s="10">
        <v>0</v>
      </c>
      <c r="I32" s="10">
        <v>0</v>
      </c>
      <c r="J32" s="10">
        <v>2.5289999999999999</v>
      </c>
      <c r="K32" s="10">
        <v>0</v>
      </c>
      <c r="L32" s="13">
        <v>0</v>
      </c>
      <c r="M32" s="13">
        <v>0</v>
      </c>
      <c r="N32" s="13">
        <v>0.27500000000000002</v>
      </c>
      <c r="O32" s="13">
        <v>0.24299999999999999</v>
      </c>
      <c r="P32" s="13">
        <v>4.2610000000000001</v>
      </c>
      <c r="Q32" s="13">
        <v>0</v>
      </c>
      <c r="R32" s="13">
        <v>0</v>
      </c>
      <c r="S32" s="13">
        <v>2.4300000000000002</v>
      </c>
      <c r="T32" s="13">
        <v>0</v>
      </c>
      <c r="U32" s="13">
        <v>1.901</v>
      </c>
      <c r="V32" s="13">
        <v>0</v>
      </c>
      <c r="W32" s="13">
        <v>0</v>
      </c>
      <c r="X32" s="13">
        <v>0.33700000000000002</v>
      </c>
      <c r="Y32" s="13">
        <v>2.1960000000000002</v>
      </c>
      <c r="Z32" s="13">
        <v>8.8290000000000006</v>
      </c>
      <c r="AA32" s="13">
        <v>2.319</v>
      </c>
      <c r="AB32" s="13">
        <v>0</v>
      </c>
      <c r="AC32" s="13">
        <v>0.76800000000000002</v>
      </c>
      <c r="AD32" s="13">
        <v>39.075000000000003</v>
      </c>
      <c r="AE32" s="13">
        <v>0</v>
      </c>
      <c r="AF32" s="13">
        <v>4.0940000000000003</v>
      </c>
      <c r="AG32" s="13">
        <v>0.81699999999999995</v>
      </c>
      <c r="AH32" s="13">
        <v>0</v>
      </c>
      <c r="AI32" s="13">
        <v>2.1709999999999998</v>
      </c>
      <c r="AJ32" s="13">
        <v>0</v>
      </c>
      <c r="AK32" s="13">
        <v>0</v>
      </c>
      <c r="AL32" s="13">
        <v>7.4930000000000003</v>
      </c>
      <c r="AM32" s="13">
        <v>6.0620000000000003</v>
      </c>
      <c r="AN32" s="13">
        <v>13.023</v>
      </c>
      <c r="AO32" s="13">
        <v>7.2460000000000004</v>
      </c>
      <c r="AP32" s="13">
        <v>17.937000000000001</v>
      </c>
      <c r="AQ32" s="10">
        <v>3.625</v>
      </c>
      <c r="AR32" s="10">
        <v>7.8230000000000004</v>
      </c>
      <c r="AS32" s="10">
        <v>7.165</v>
      </c>
      <c r="AT32" s="10">
        <v>7.4669999999999996</v>
      </c>
      <c r="AU32" s="10">
        <v>13.397</v>
      </c>
      <c r="AV32" s="10">
        <v>0</v>
      </c>
      <c r="AW32" s="10">
        <v>0</v>
      </c>
      <c r="AX32" s="10">
        <v>0</v>
      </c>
      <c r="AY32" s="10">
        <v>29.577999999999999</v>
      </c>
      <c r="AZ32" s="13">
        <v>0</v>
      </c>
      <c r="BA32" s="13">
        <v>0</v>
      </c>
      <c r="BB32" s="13">
        <v>0</v>
      </c>
      <c r="BC32" s="13">
        <v>0.45900000000000002</v>
      </c>
      <c r="BD32" s="13">
        <v>0.44900000000000001</v>
      </c>
      <c r="BE32" s="13">
        <v>0</v>
      </c>
      <c r="BF32" s="13">
        <v>3.4350000000000001</v>
      </c>
      <c r="BG32" s="13">
        <v>1.2769999999999999</v>
      </c>
      <c r="BH32" s="10">
        <v>4.835</v>
      </c>
      <c r="BI32" s="10">
        <v>1.99</v>
      </c>
      <c r="BJ32" s="10">
        <v>9.3780000000000001</v>
      </c>
      <c r="BK32" s="13">
        <v>11.282999999999999</v>
      </c>
      <c r="BL32" s="13">
        <v>0</v>
      </c>
      <c r="BM32" s="13">
        <v>1.851</v>
      </c>
      <c r="BN32" s="13">
        <v>0</v>
      </c>
      <c r="BO32" s="13">
        <v>12.929</v>
      </c>
      <c r="BP32" s="13">
        <v>0</v>
      </c>
      <c r="BQ32" s="10">
        <v>0.22800000000000001</v>
      </c>
      <c r="BR32" s="10">
        <v>0</v>
      </c>
      <c r="BS32" s="10">
        <v>1.635</v>
      </c>
      <c r="BT32" s="10">
        <v>0</v>
      </c>
      <c r="BU32" s="10">
        <v>7.8540000000000001</v>
      </c>
      <c r="BV32" s="10">
        <v>0</v>
      </c>
      <c r="BW32" s="13">
        <v>0.46500000000000002</v>
      </c>
      <c r="BX32" s="13">
        <v>0.27400000000000002</v>
      </c>
      <c r="BY32" s="13">
        <v>0</v>
      </c>
      <c r="BZ32" s="13">
        <v>32.695</v>
      </c>
      <c r="CA32" s="13">
        <v>5.492</v>
      </c>
      <c r="CB32" s="13">
        <v>0</v>
      </c>
      <c r="CC32" s="13">
        <v>15.465999999999999</v>
      </c>
      <c r="CD32" s="13">
        <v>0</v>
      </c>
      <c r="CE32" s="13">
        <v>19.573</v>
      </c>
      <c r="CF32" s="13">
        <v>15.946</v>
      </c>
      <c r="CG32" s="13">
        <v>0</v>
      </c>
      <c r="CH32" s="13">
        <v>3.4780000000000002</v>
      </c>
      <c r="CI32" s="13">
        <v>1.667</v>
      </c>
      <c r="CJ32" s="13">
        <v>0</v>
      </c>
      <c r="CK32" s="13">
        <v>6.9649999999999999</v>
      </c>
      <c r="CL32" s="13">
        <v>2.2360000000000002</v>
      </c>
      <c r="CM32" s="13">
        <v>5.9329999999999998</v>
      </c>
      <c r="CN32" s="13">
        <v>7.3129999999999997</v>
      </c>
      <c r="CO32" s="13">
        <v>1.732</v>
      </c>
      <c r="CP32" s="13">
        <v>0</v>
      </c>
      <c r="CQ32" s="13">
        <v>10.157</v>
      </c>
      <c r="CR32" s="10">
        <v>0</v>
      </c>
      <c r="CS32" s="10">
        <v>0</v>
      </c>
      <c r="CT32" s="10">
        <v>2.714</v>
      </c>
      <c r="CU32" s="10">
        <v>0.68799999999999994</v>
      </c>
      <c r="CV32" s="10">
        <v>0</v>
      </c>
      <c r="CW32" s="10">
        <v>5.3949999999999996</v>
      </c>
      <c r="CX32" s="10">
        <v>0.97</v>
      </c>
      <c r="CY32" s="10">
        <v>0</v>
      </c>
    </row>
    <row r="33" spans="1:103" x14ac:dyDescent="0.25">
      <c r="A33" s="5" t="s">
        <v>104</v>
      </c>
      <c r="B33" s="10">
        <v>0</v>
      </c>
      <c r="C33" s="10">
        <v>0</v>
      </c>
      <c r="D33" s="10">
        <v>0.76100000000000001</v>
      </c>
      <c r="E33" s="10">
        <v>5.0250000000000004</v>
      </c>
      <c r="F33" s="10">
        <v>0</v>
      </c>
      <c r="G33" s="10">
        <v>7.7110000000000003</v>
      </c>
      <c r="H33" s="10">
        <v>0</v>
      </c>
      <c r="I33" s="10">
        <v>0</v>
      </c>
      <c r="J33" s="10">
        <v>1.0999999999999999E-2</v>
      </c>
      <c r="K33" s="10">
        <v>111.81100000000001</v>
      </c>
      <c r="L33" s="13">
        <v>0</v>
      </c>
      <c r="M33" s="13">
        <v>2.556</v>
      </c>
      <c r="N33" s="13">
        <v>0.55000000000000004</v>
      </c>
      <c r="O33" s="13">
        <v>0.24299999999999999</v>
      </c>
      <c r="P33" s="13">
        <v>1.869</v>
      </c>
      <c r="Q33" s="13">
        <v>4.9459999999999997</v>
      </c>
      <c r="R33" s="13">
        <v>0</v>
      </c>
      <c r="S33" s="13">
        <v>0</v>
      </c>
      <c r="T33" s="13">
        <v>3.516</v>
      </c>
      <c r="U33" s="13">
        <v>3.802</v>
      </c>
      <c r="V33" s="13">
        <v>1.8109999999999999</v>
      </c>
      <c r="W33" s="13">
        <v>0.39100000000000001</v>
      </c>
      <c r="X33" s="13">
        <v>1.6850000000000001</v>
      </c>
      <c r="Y33" s="13">
        <v>3.9590000000000001</v>
      </c>
      <c r="Z33" s="13">
        <v>7.36</v>
      </c>
      <c r="AA33" s="13">
        <v>0</v>
      </c>
      <c r="AB33" s="13">
        <v>0.46899999999999997</v>
      </c>
      <c r="AC33" s="13">
        <v>0</v>
      </c>
      <c r="AD33" s="13">
        <v>11.038</v>
      </c>
      <c r="AE33" s="13">
        <v>0</v>
      </c>
      <c r="AF33" s="13">
        <v>0</v>
      </c>
      <c r="AG33" s="13">
        <v>3.266</v>
      </c>
      <c r="AH33" s="13">
        <v>1.669</v>
      </c>
      <c r="AI33" s="13">
        <v>3.5049999999999999</v>
      </c>
      <c r="AJ33" s="13">
        <v>0</v>
      </c>
      <c r="AK33" s="13">
        <v>0</v>
      </c>
      <c r="AL33" s="13">
        <v>3.4860000000000002</v>
      </c>
      <c r="AM33" s="13">
        <v>0</v>
      </c>
      <c r="AN33" s="13">
        <v>9.9649999999999999</v>
      </c>
      <c r="AO33" s="13">
        <v>16.273</v>
      </c>
      <c r="AP33" s="13">
        <v>0</v>
      </c>
      <c r="AQ33" s="10">
        <v>14.497999999999999</v>
      </c>
      <c r="AR33" s="10">
        <v>47.317</v>
      </c>
      <c r="AS33" s="10">
        <v>5.3730000000000002</v>
      </c>
      <c r="AT33" s="10">
        <v>14.933999999999999</v>
      </c>
      <c r="AU33" s="10">
        <v>6.25</v>
      </c>
      <c r="AV33" s="10">
        <v>3.6320000000000001</v>
      </c>
      <c r="AW33" s="10">
        <v>0.255</v>
      </c>
      <c r="AX33" s="10">
        <v>0</v>
      </c>
      <c r="AY33" s="10">
        <v>5.9020000000000001</v>
      </c>
      <c r="AZ33" s="13">
        <v>0.97299999999999998</v>
      </c>
      <c r="BA33" s="13">
        <v>0</v>
      </c>
      <c r="BB33" s="13">
        <v>9.0999999999999998E-2</v>
      </c>
      <c r="BC33" s="13">
        <v>0</v>
      </c>
      <c r="BD33" s="13">
        <v>0.44900000000000001</v>
      </c>
      <c r="BE33" s="13">
        <v>3.8210000000000002</v>
      </c>
      <c r="BF33" s="13">
        <v>1.7170000000000001</v>
      </c>
      <c r="BG33" s="13">
        <v>0</v>
      </c>
      <c r="BH33" s="10">
        <v>2.5720000000000001</v>
      </c>
      <c r="BI33" s="10">
        <v>0</v>
      </c>
      <c r="BJ33" s="10">
        <v>0.53</v>
      </c>
      <c r="BK33" s="13">
        <v>18.893000000000001</v>
      </c>
      <c r="BL33" s="13">
        <v>0</v>
      </c>
      <c r="BM33" s="13">
        <v>0</v>
      </c>
      <c r="BN33" s="13">
        <v>12.27</v>
      </c>
      <c r="BO33" s="13">
        <v>29.007999999999999</v>
      </c>
      <c r="BP33" s="13">
        <v>36.591999999999999</v>
      </c>
      <c r="BQ33" s="10">
        <v>0.91100000000000003</v>
      </c>
      <c r="BR33" s="10">
        <v>3.786</v>
      </c>
      <c r="BS33" s="10">
        <v>1.635</v>
      </c>
      <c r="BT33" s="10">
        <v>0</v>
      </c>
      <c r="BU33" s="10">
        <v>0</v>
      </c>
      <c r="BV33" s="10">
        <v>0</v>
      </c>
      <c r="BW33" s="13">
        <v>0.17699999999999999</v>
      </c>
      <c r="BX33" s="13">
        <v>0.47</v>
      </c>
      <c r="BY33" s="13">
        <v>0</v>
      </c>
      <c r="BZ33" s="13">
        <v>4.9560000000000004</v>
      </c>
      <c r="CA33" s="13">
        <v>9.4770000000000003</v>
      </c>
      <c r="CB33" s="13">
        <v>0</v>
      </c>
      <c r="CC33" s="13">
        <v>14.772</v>
      </c>
      <c r="CD33" s="13">
        <v>7.3680000000000003</v>
      </c>
      <c r="CE33" s="13">
        <v>10.130000000000001</v>
      </c>
      <c r="CF33" s="13">
        <v>11.385</v>
      </c>
      <c r="CG33" s="13">
        <v>0</v>
      </c>
      <c r="CH33" s="13">
        <v>0</v>
      </c>
      <c r="CI33" s="13">
        <v>3.3340000000000001</v>
      </c>
      <c r="CJ33" s="13">
        <v>2.7290000000000001</v>
      </c>
      <c r="CK33" s="13">
        <v>3.0670000000000002</v>
      </c>
      <c r="CL33" s="13">
        <v>0</v>
      </c>
      <c r="CM33" s="13">
        <v>2.9670000000000001</v>
      </c>
      <c r="CN33" s="13">
        <v>6.3710000000000004</v>
      </c>
      <c r="CO33" s="13">
        <v>5.1959999999999997</v>
      </c>
      <c r="CP33" s="13">
        <v>5.7220000000000004</v>
      </c>
      <c r="CQ33" s="13">
        <v>0</v>
      </c>
      <c r="CR33" s="10">
        <v>0.45900000000000002</v>
      </c>
      <c r="CS33" s="10">
        <v>0</v>
      </c>
      <c r="CT33" s="10">
        <v>2.339</v>
      </c>
      <c r="CU33" s="10">
        <v>0</v>
      </c>
      <c r="CV33" s="10">
        <v>0</v>
      </c>
      <c r="CW33" s="10">
        <v>1.855</v>
      </c>
      <c r="CX33" s="10">
        <v>0.48499999999999999</v>
      </c>
      <c r="CY33" s="10">
        <v>0</v>
      </c>
    </row>
    <row r="34" spans="1:103" x14ac:dyDescent="0.25">
      <c r="A34" s="5" t="s">
        <v>103</v>
      </c>
      <c r="B34" s="10">
        <v>0</v>
      </c>
      <c r="C34" s="10">
        <v>4.577</v>
      </c>
      <c r="D34" s="10">
        <v>0.38</v>
      </c>
      <c r="E34" s="10">
        <v>0</v>
      </c>
      <c r="F34" s="10">
        <v>0</v>
      </c>
      <c r="G34" s="10">
        <v>10.167</v>
      </c>
      <c r="H34" s="10">
        <v>0</v>
      </c>
      <c r="I34" s="10">
        <v>7.7350000000000003</v>
      </c>
      <c r="J34" s="10">
        <v>20.538</v>
      </c>
      <c r="K34" s="10">
        <v>68.537000000000006</v>
      </c>
      <c r="L34" s="13">
        <v>2.556</v>
      </c>
      <c r="M34" s="13">
        <v>1.8879999999999999</v>
      </c>
      <c r="N34" s="13">
        <v>0.41199999999999998</v>
      </c>
      <c r="O34" s="13">
        <v>0.21299999999999999</v>
      </c>
      <c r="P34" s="13">
        <v>0</v>
      </c>
      <c r="Q34" s="13">
        <v>1.012</v>
      </c>
      <c r="R34" s="13">
        <v>1.349</v>
      </c>
      <c r="S34" s="13">
        <v>2.1269999999999998</v>
      </c>
      <c r="T34" s="13">
        <v>2.976</v>
      </c>
      <c r="U34" s="13">
        <v>0.42599999999999999</v>
      </c>
      <c r="V34" s="13">
        <v>1.8109999999999999</v>
      </c>
      <c r="W34" s="13">
        <v>0</v>
      </c>
      <c r="X34" s="13">
        <v>1.0109999999999999</v>
      </c>
      <c r="Y34" s="13">
        <v>2.702</v>
      </c>
      <c r="Z34" s="13">
        <v>12.367000000000001</v>
      </c>
      <c r="AA34" s="13">
        <v>3.1619999999999999</v>
      </c>
      <c r="AB34" s="13">
        <v>0</v>
      </c>
      <c r="AC34" s="13">
        <v>0</v>
      </c>
      <c r="AD34" s="13">
        <v>13.634</v>
      </c>
      <c r="AE34" s="13">
        <v>1.3</v>
      </c>
      <c r="AF34" s="13">
        <v>7.6999999999999999E-2</v>
      </c>
      <c r="AG34" s="13">
        <v>0</v>
      </c>
      <c r="AH34" s="13">
        <v>4.1719999999999997</v>
      </c>
      <c r="AI34" s="13">
        <v>3.9380000000000002</v>
      </c>
      <c r="AJ34" s="13">
        <v>0.96799999999999997</v>
      </c>
      <c r="AK34" s="13">
        <v>0</v>
      </c>
      <c r="AL34" s="13">
        <v>6.4770000000000003</v>
      </c>
      <c r="AM34" s="13">
        <v>0</v>
      </c>
      <c r="AN34" s="13">
        <v>0</v>
      </c>
      <c r="AO34" s="13">
        <v>15.331</v>
      </c>
      <c r="AP34" s="13">
        <v>0</v>
      </c>
      <c r="AQ34" s="10">
        <v>0</v>
      </c>
      <c r="AR34" s="10">
        <v>24.016999999999999</v>
      </c>
      <c r="AS34" s="10">
        <v>3.5819999999999999</v>
      </c>
      <c r="AT34" s="10">
        <v>0</v>
      </c>
      <c r="AU34" s="10">
        <v>6.25</v>
      </c>
      <c r="AV34" s="10">
        <v>0.75600000000000001</v>
      </c>
      <c r="AW34" s="10">
        <v>0.26100000000000001</v>
      </c>
      <c r="AX34" s="10">
        <v>0</v>
      </c>
      <c r="AY34" s="10">
        <v>8.7070000000000007</v>
      </c>
      <c r="AZ34" s="13">
        <v>0</v>
      </c>
      <c r="BA34" s="13">
        <v>0</v>
      </c>
      <c r="BB34" s="13">
        <v>0</v>
      </c>
      <c r="BC34" s="13">
        <v>0.23</v>
      </c>
      <c r="BD34" s="13">
        <v>0</v>
      </c>
      <c r="BE34" s="13">
        <v>0</v>
      </c>
      <c r="BF34" s="13">
        <v>0</v>
      </c>
      <c r="BG34" s="13">
        <v>2.5539999999999998</v>
      </c>
      <c r="BH34" s="10">
        <v>2.3039999999999998</v>
      </c>
      <c r="BI34" s="10">
        <v>3.9790000000000001</v>
      </c>
      <c r="BJ34" s="10">
        <v>0</v>
      </c>
      <c r="BK34" s="13">
        <v>1.589</v>
      </c>
      <c r="BL34" s="13">
        <v>0</v>
      </c>
      <c r="BM34" s="13">
        <v>0</v>
      </c>
      <c r="BN34" s="13">
        <v>9.8729999999999993</v>
      </c>
      <c r="BO34" s="13">
        <v>0</v>
      </c>
      <c r="BP34" s="13">
        <v>30.048999999999999</v>
      </c>
      <c r="BQ34" s="10">
        <v>0</v>
      </c>
      <c r="BR34" s="10">
        <v>5.6790000000000003</v>
      </c>
      <c r="BS34" s="10">
        <v>4.9039999999999999</v>
      </c>
      <c r="BT34" s="10">
        <v>3.8809999999999998</v>
      </c>
      <c r="BU34" s="10">
        <v>0</v>
      </c>
      <c r="BV34" s="10">
        <v>0</v>
      </c>
      <c r="BW34" s="13">
        <v>0.35499999999999998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15.483000000000001</v>
      </c>
      <c r="CE34" s="13">
        <v>8.577</v>
      </c>
      <c r="CF34" s="13">
        <v>24.783999999999999</v>
      </c>
      <c r="CG34" s="13">
        <v>2.7189999999999999</v>
      </c>
      <c r="CH34" s="13">
        <v>5.0170000000000003</v>
      </c>
      <c r="CI34" s="13">
        <v>0.73899999999999999</v>
      </c>
      <c r="CJ34" s="13">
        <v>9.1300000000000008</v>
      </c>
      <c r="CK34" s="13">
        <v>10.497</v>
      </c>
      <c r="CL34" s="13">
        <v>4.8129999999999997</v>
      </c>
      <c r="CM34" s="13">
        <v>0</v>
      </c>
      <c r="CN34" s="13">
        <v>0</v>
      </c>
      <c r="CO34" s="13">
        <v>5.1959999999999997</v>
      </c>
      <c r="CP34" s="13">
        <v>1.645</v>
      </c>
      <c r="CQ34" s="13">
        <v>3.3460000000000001</v>
      </c>
      <c r="CR34" s="10">
        <v>1.46</v>
      </c>
      <c r="CS34" s="10">
        <v>0</v>
      </c>
      <c r="CT34" s="10">
        <v>3.7909999999999999</v>
      </c>
      <c r="CU34" s="10">
        <v>1.0309999999999999</v>
      </c>
      <c r="CV34" s="10">
        <v>7.1449999999999996</v>
      </c>
      <c r="CW34" s="10">
        <v>0</v>
      </c>
      <c r="CX34" s="10">
        <v>0.28299999999999997</v>
      </c>
      <c r="CY34" s="10">
        <v>0</v>
      </c>
    </row>
    <row r="35" spans="1:103" x14ac:dyDescent="0.25">
      <c r="A35" s="5" t="s">
        <v>102</v>
      </c>
      <c r="B35" s="10">
        <v>46.057000000000002</v>
      </c>
      <c r="C35" s="10">
        <v>0</v>
      </c>
      <c r="D35" s="10">
        <v>1.141</v>
      </c>
      <c r="E35" s="10">
        <v>0</v>
      </c>
      <c r="F35" s="10">
        <v>1.0449999999999999</v>
      </c>
      <c r="G35" s="10">
        <v>1.075</v>
      </c>
      <c r="H35" s="10">
        <v>19.994</v>
      </c>
      <c r="I35" s="10">
        <v>32.222999999999999</v>
      </c>
      <c r="J35" s="10">
        <v>49.055999999999997</v>
      </c>
      <c r="K35" s="10">
        <v>0</v>
      </c>
      <c r="L35" s="13">
        <v>1.8879999999999999</v>
      </c>
      <c r="M35" s="13">
        <v>0</v>
      </c>
      <c r="N35" s="13">
        <v>0.13700000000000001</v>
      </c>
      <c r="O35" s="13">
        <v>0</v>
      </c>
      <c r="P35" s="13">
        <v>2.181</v>
      </c>
      <c r="Q35" s="13">
        <v>2.024</v>
      </c>
      <c r="R35" s="13">
        <v>0</v>
      </c>
      <c r="S35" s="13">
        <v>0</v>
      </c>
      <c r="T35" s="13">
        <v>1.2450000000000001</v>
      </c>
      <c r="U35" s="13">
        <v>0</v>
      </c>
      <c r="V35" s="13">
        <v>1.202</v>
      </c>
      <c r="W35" s="13">
        <v>0.78300000000000003</v>
      </c>
      <c r="X35" s="13">
        <v>0.33700000000000002</v>
      </c>
      <c r="Y35" s="13">
        <v>1.91</v>
      </c>
      <c r="Z35" s="13">
        <v>3.1230000000000002</v>
      </c>
      <c r="AA35" s="13">
        <v>2.3170000000000002</v>
      </c>
      <c r="AB35" s="13">
        <v>0</v>
      </c>
      <c r="AC35" s="13">
        <v>0</v>
      </c>
      <c r="AD35" s="13">
        <v>31.103999999999999</v>
      </c>
      <c r="AE35" s="13">
        <v>2.448</v>
      </c>
      <c r="AF35" s="13">
        <v>2.5590000000000002</v>
      </c>
      <c r="AG35" s="13">
        <v>0.56499999999999995</v>
      </c>
      <c r="AH35" s="13">
        <v>1.7829999999999999</v>
      </c>
      <c r="AI35" s="13">
        <v>2.1030000000000002</v>
      </c>
      <c r="AJ35" s="13">
        <v>1.5309999999999999</v>
      </c>
      <c r="AK35" s="13">
        <v>0.96799999999999997</v>
      </c>
      <c r="AL35" s="13">
        <v>19.82</v>
      </c>
      <c r="AM35" s="13">
        <v>0</v>
      </c>
      <c r="AN35" s="13">
        <v>0</v>
      </c>
      <c r="AO35" s="13">
        <v>8.3179999999999996</v>
      </c>
      <c r="AP35" s="13">
        <v>0</v>
      </c>
      <c r="AQ35" s="10">
        <v>9.4619999999999997</v>
      </c>
      <c r="AR35" s="10">
        <v>16.779</v>
      </c>
      <c r="AS35" s="10">
        <v>7.165</v>
      </c>
      <c r="AT35" s="10">
        <v>0</v>
      </c>
      <c r="AU35" s="10">
        <v>0</v>
      </c>
      <c r="AV35" s="10">
        <v>0</v>
      </c>
      <c r="AW35" s="10">
        <v>0.312</v>
      </c>
      <c r="AX35" s="10">
        <v>0</v>
      </c>
      <c r="AY35" s="10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0">
        <v>3.9620000000000002</v>
      </c>
      <c r="BI35" s="10">
        <v>1.595</v>
      </c>
      <c r="BJ35" s="10">
        <v>0</v>
      </c>
      <c r="BK35" s="13">
        <v>7.9249999999999998</v>
      </c>
      <c r="BL35" s="13">
        <v>3.8690000000000002</v>
      </c>
      <c r="BM35" s="13">
        <v>29.506</v>
      </c>
      <c r="BN35" s="13">
        <v>9.8729999999999993</v>
      </c>
      <c r="BO35" s="13">
        <v>0</v>
      </c>
      <c r="BP35" s="13">
        <v>0</v>
      </c>
      <c r="BQ35" s="10">
        <v>0</v>
      </c>
      <c r="BR35" s="10">
        <v>1.893</v>
      </c>
      <c r="BS35" s="10">
        <v>4.9039999999999999</v>
      </c>
      <c r="BT35" s="10">
        <v>3.8809999999999998</v>
      </c>
      <c r="BU35" s="10">
        <v>0</v>
      </c>
      <c r="BV35" s="10">
        <v>0</v>
      </c>
      <c r="BW35" s="13">
        <v>0.25600000000000001</v>
      </c>
      <c r="BX35" s="13">
        <v>0</v>
      </c>
      <c r="BY35" s="13">
        <v>0</v>
      </c>
      <c r="BZ35" s="13">
        <v>0</v>
      </c>
      <c r="CA35" s="13">
        <v>6.048</v>
      </c>
      <c r="CB35" s="13">
        <v>0</v>
      </c>
      <c r="CC35" s="13">
        <v>26.922999999999998</v>
      </c>
      <c r="CD35" s="13">
        <v>12.353999999999999</v>
      </c>
      <c r="CE35" s="13">
        <v>3.294</v>
      </c>
      <c r="CF35" s="13">
        <v>42.518999999999998</v>
      </c>
      <c r="CG35" s="13">
        <v>2.9329999999999998</v>
      </c>
      <c r="CH35" s="13">
        <v>0.79</v>
      </c>
      <c r="CI35" s="13">
        <v>0</v>
      </c>
      <c r="CJ35" s="13">
        <v>11.023</v>
      </c>
      <c r="CK35" s="13">
        <v>0</v>
      </c>
      <c r="CL35" s="13">
        <v>0</v>
      </c>
      <c r="CM35" s="13">
        <v>5.9329999999999998</v>
      </c>
      <c r="CN35" s="13">
        <v>0</v>
      </c>
      <c r="CO35" s="13">
        <v>3.464</v>
      </c>
      <c r="CP35" s="13">
        <v>1.841</v>
      </c>
      <c r="CQ35" s="13">
        <v>11.577</v>
      </c>
      <c r="CR35" s="10">
        <v>14.474</v>
      </c>
      <c r="CS35" s="10">
        <v>2.56</v>
      </c>
      <c r="CT35" s="10">
        <v>2.65</v>
      </c>
      <c r="CU35" s="10">
        <v>0.68799999999999994</v>
      </c>
      <c r="CV35" s="10">
        <v>8.3420000000000005</v>
      </c>
      <c r="CW35" s="10">
        <v>0.36299999999999999</v>
      </c>
      <c r="CX35" s="10">
        <v>1.1220000000000001</v>
      </c>
      <c r="CY35" s="10">
        <v>0</v>
      </c>
    </row>
    <row r="36" spans="1:103" x14ac:dyDescent="0.25">
      <c r="A36" s="5" t="s">
        <v>101</v>
      </c>
      <c r="B36" s="10">
        <v>67.543999999999997</v>
      </c>
      <c r="C36" s="10">
        <v>0</v>
      </c>
      <c r="D36" s="10">
        <v>0.76100000000000001</v>
      </c>
      <c r="E36" s="10">
        <v>2.512</v>
      </c>
      <c r="F36" s="10">
        <v>0</v>
      </c>
      <c r="G36" s="10">
        <v>17.010000000000002</v>
      </c>
      <c r="H36" s="10">
        <v>5.7770000000000001</v>
      </c>
      <c r="I36" s="10">
        <v>0</v>
      </c>
      <c r="J36" s="10">
        <v>0</v>
      </c>
      <c r="K36" s="10">
        <v>37.116999999999997</v>
      </c>
      <c r="L36" s="13">
        <v>0</v>
      </c>
      <c r="M36" s="13">
        <v>2.9489999999999998</v>
      </c>
      <c r="N36" s="13">
        <v>0.55000000000000004</v>
      </c>
      <c r="O36" s="13">
        <v>0.24299999999999999</v>
      </c>
      <c r="P36" s="13">
        <v>1.454</v>
      </c>
      <c r="Q36" s="13">
        <v>0</v>
      </c>
      <c r="R36" s="13">
        <v>0</v>
      </c>
      <c r="S36" s="13">
        <v>3.738</v>
      </c>
      <c r="T36" s="13">
        <v>2.4900000000000002</v>
      </c>
      <c r="U36" s="13">
        <v>0.85199999999999998</v>
      </c>
      <c r="V36" s="13">
        <v>1.3740000000000001</v>
      </c>
      <c r="W36" s="13">
        <v>0.39100000000000001</v>
      </c>
      <c r="X36" s="13">
        <v>1.0109999999999999</v>
      </c>
      <c r="Y36" s="13">
        <v>0.79200000000000004</v>
      </c>
      <c r="Z36" s="13">
        <v>2.2080000000000002</v>
      </c>
      <c r="AA36" s="13">
        <v>0</v>
      </c>
      <c r="AB36" s="13">
        <v>0</v>
      </c>
      <c r="AC36" s="13">
        <v>0</v>
      </c>
      <c r="AD36" s="13">
        <v>15.067</v>
      </c>
      <c r="AE36" s="13">
        <v>5.1340000000000003</v>
      </c>
      <c r="AF36" s="13">
        <v>0</v>
      </c>
      <c r="AG36" s="13">
        <v>0.56499999999999995</v>
      </c>
      <c r="AH36" s="13">
        <v>0.83399999999999996</v>
      </c>
      <c r="AI36" s="13">
        <v>6.3090000000000002</v>
      </c>
      <c r="AJ36" s="13">
        <v>0</v>
      </c>
      <c r="AK36" s="13">
        <v>1.5309999999999999</v>
      </c>
      <c r="AL36" s="13">
        <v>19.82</v>
      </c>
      <c r="AM36" s="13">
        <v>14.901</v>
      </c>
      <c r="AN36" s="13">
        <v>0</v>
      </c>
      <c r="AO36" s="13">
        <v>22.047999999999998</v>
      </c>
      <c r="AP36" s="13">
        <v>15.205</v>
      </c>
      <c r="AQ36" s="10">
        <v>4.7E-2</v>
      </c>
      <c r="AR36" s="10">
        <v>33.558999999999997</v>
      </c>
      <c r="AS36" s="10">
        <v>10.268000000000001</v>
      </c>
      <c r="AT36" s="10">
        <v>7.4669999999999996</v>
      </c>
      <c r="AU36" s="10">
        <v>3.125</v>
      </c>
      <c r="AV36" s="10">
        <v>0</v>
      </c>
      <c r="AW36" s="10">
        <v>0.36699999999999999</v>
      </c>
      <c r="AX36" s="10">
        <v>0</v>
      </c>
      <c r="AY36" s="10">
        <v>10.78</v>
      </c>
      <c r="AZ36" s="13">
        <v>0</v>
      </c>
      <c r="BA36" s="13">
        <v>0</v>
      </c>
      <c r="BB36" s="13">
        <v>0</v>
      </c>
      <c r="BC36" s="13">
        <v>0.45900000000000002</v>
      </c>
      <c r="BD36" s="13">
        <v>1.6890000000000001</v>
      </c>
      <c r="BE36" s="13">
        <v>1.407</v>
      </c>
      <c r="BF36" s="13">
        <v>2.1019999999999999</v>
      </c>
      <c r="BG36" s="13">
        <v>0</v>
      </c>
      <c r="BH36" s="10">
        <v>0</v>
      </c>
      <c r="BI36" s="10">
        <v>1.99</v>
      </c>
      <c r="BJ36" s="10">
        <v>0</v>
      </c>
      <c r="BK36" s="13">
        <v>0</v>
      </c>
      <c r="BL36" s="13">
        <v>6.7919999999999998</v>
      </c>
      <c r="BM36" s="13">
        <v>0</v>
      </c>
      <c r="BN36" s="13">
        <v>3.2909999999999999</v>
      </c>
      <c r="BO36" s="13">
        <v>0</v>
      </c>
      <c r="BP36" s="13">
        <v>4.5199999999999996</v>
      </c>
      <c r="BQ36" s="10">
        <v>0.34</v>
      </c>
      <c r="BR36" s="10">
        <v>2.677</v>
      </c>
      <c r="BS36" s="10">
        <v>0</v>
      </c>
      <c r="BT36" s="10">
        <v>0</v>
      </c>
      <c r="BU36" s="10">
        <v>0</v>
      </c>
      <c r="BV36" s="10">
        <v>0</v>
      </c>
      <c r="BW36" s="13">
        <v>0.35499999999999998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10.41</v>
      </c>
      <c r="CE36" s="13">
        <v>0</v>
      </c>
      <c r="CF36" s="13">
        <v>11.144</v>
      </c>
      <c r="CG36" s="13">
        <v>1.637</v>
      </c>
      <c r="CH36" s="13">
        <v>0</v>
      </c>
      <c r="CI36" s="13">
        <v>0.97099999999999997</v>
      </c>
      <c r="CJ36" s="13">
        <v>7.2779999999999996</v>
      </c>
      <c r="CK36" s="13">
        <v>0</v>
      </c>
      <c r="CL36" s="13">
        <v>0</v>
      </c>
      <c r="CM36" s="13">
        <v>0</v>
      </c>
      <c r="CN36" s="13">
        <v>0</v>
      </c>
      <c r="CO36" s="13">
        <v>3.464</v>
      </c>
      <c r="CP36" s="13">
        <v>0</v>
      </c>
      <c r="CQ36" s="13">
        <v>5.8150000000000004</v>
      </c>
      <c r="CR36" s="10">
        <v>4.3360000000000003</v>
      </c>
      <c r="CS36" s="10">
        <v>5.12</v>
      </c>
      <c r="CT36" s="10">
        <v>5.2359999999999998</v>
      </c>
      <c r="CU36" s="10">
        <v>0</v>
      </c>
      <c r="CV36" s="10">
        <v>0</v>
      </c>
      <c r="CW36" s="10">
        <v>16.486000000000001</v>
      </c>
      <c r="CX36" s="10">
        <v>0.56000000000000005</v>
      </c>
      <c r="CY36" s="10">
        <v>4.0380000000000003</v>
      </c>
    </row>
    <row r="37" spans="1:103" x14ac:dyDescent="0.25">
      <c r="A37" s="5" t="s">
        <v>100</v>
      </c>
      <c r="B37" s="10" t="s">
        <v>128</v>
      </c>
      <c r="C37" s="10">
        <v>0</v>
      </c>
      <c r="D37" s="10">
        <v>1.141</v>
      </c>
      <c r="E37" s="10">
        <v>5.0250000000000004</v>
      </c>
      <c r="F37" s="10">
        <v>0</v>
      </c>
      <c r="G37" s="10">
        <v>16.928000000000001</v>
      </c>
      <c r="H37" s="10">
        <v>6.1639999999999997</v>
      </c>
      <c r="I37" s="10">
        <v>0</v>
      </c>
      <c r="J37" s="10">
        <v>0</v>
      </c>
      <c r="K37" s="10">
        <v>0</v>
      </c>
      <c r="L37" s="13">
        <v>2.9489999999999998</v>
      </c>
      <c r="M37" s="13">
        <v>0</v>
      </c>
      <c r="N37" s="13">
        <v>0.36899999999999999</v>
      </c>
      <c r="O37" s="13">
        <v>0.24299999999999999</v>
      </c>
      <c r="P37" s="13">
        <v>2.181</v>
      </c>
      <c r="Q37" s="13">
        <v>2.7</v>
      </c>
      <c r="R37" s="13">
        <v>1.6459999999999999</v>
      </c>
      <c r="S37" s="13">
        <v>4.907</v>
      </c>
      <c r="T37" s="13">
        <v>4.3579999999999997</v>
      </c>
      <c r="U37" s="13">
        <v>1.2769999999999999</v>
      </c>
      <c r="V37" s="13">
        <v>0.80200000000000005</v>
      </c>
      <c r="W37" s="13">
        <v>0</v>
      </c>
      <c r="X37" s="13">
        <v>1.631</v>
      </c>
      <c r="Y37" s="13">
        <v>0</v>
      </c>
      <c r="Z37" s="13">
        <v>2.2080000000000002</v>
      </c>
      <c r="AA37" s="13">
        <v>3.2890000000000001</v>
      </c>
      <c r="AB37" s="13">
        <v>0</v>
      </c>
      <c r="AC37" s="13">
        <v>0</v>
      </c>
      <c r="AD37" s="13">
        <v>2.1800000000000002</v>
      </c>
      <c r="AE37" s="13">
        <v>1.413</v>
      </c>
      <c r="AF37" s="13">
        <v>2.6360000000000001</v>
      </c>
      <c r="AG37" s="13">
        <v>1.1299999999999999</v>
      </c>
      <c r="AH37" s="13">
        <v>7.4009999999999998</v>
      </c>
      <c r="AI37" s="13">
        <v>2.1030000000000002</v>
      </c>
      <c r="AJ37" s="13">
        <v>0</v>
      </c>
      <c r="AK37" s="13">
        <v>0</v>
      </c>
      <c r="AL37" s="13">
        <v>18.416</v>
      </c>
      <c r="AM37" s="13">
        <v>0</v>
      </c>
      <c r="AN37" s="13">
        <v>0</v>
      </c>
      <c r="AO37" s="13">
        <v>0</v>
      </c>
      <c r="AP37" s="13">
        <v>15.205</v>
      </c>
      <c r="AQ37" s="10">
        <v>8.9120000000000008</v>
      </c>
      <c r="AR37" s="10">
        <v>18.704999999999998</v>
      </c>
      <c r="AS37" s="10">
        <v>15.401999999999999</v>
      </c>
      <c r="AT37" s="10">
        <v>9.6229999999999993</v>
      </c>
      <c r="AU37" s="10">
        <v>3.125</v>
      </c>
      <c r="AV37" s="10">
        <v>16.588999999999999</v>
      </c>
      <c r="AW37" s="10">
        <v>0.27</v>
      </c>
      <c r="AX37" s="10">
        <v>0</v>
      </c>
      <c r="AY37" s="10">
        <v>16.318999999999999</v>
      </c>
      <c r="AZ37" s="13">
        <v>0.96199999999999997</v>
      </c>
      <c r="BA37" s="13">
        <v>0</v>
      </c>
      <c r="BB37" s="13">
        <v>0</v>
      </c>
      <c r="BC37" s="13">
        <v>0.61</v>
      </c>
      <c r="BD37" s="13">
        <v>1.6890000000000001</v>
      </c>
      <c r="BE37" s="13">
        <v>2.8140000000000001</v>
      </c>
      <c r="BF37" s="13">
        <v>4.2039999999999997</v>
      </c>
      <c r="BG37" s="13">
        <v>1.7170000000000001</v>
      </c>
      <c r="BH37" s="10">
        <v>3.9620000000000002</v>
      </c>
      <c r="BI37" s="10">
        <v>8.2270000000000003</v>
      </c>
      <c r="BJ37" s="10">
        <v>4.867</v>
      </c>
      <c r="BK37" s="13">
        <v>3.3780000000000001</v>
      </c>
      <c r="BL37" s="13">
        <v>0</v>
      </c>
      <c r="BM37" s="13">
        <v>0</v>
      </c>
      <c r="BN37" s="13">
        <v>0</v>
      </c>
      <c r="BO37" s="13">
        <v>31.596</v>
      </c>
      <c r="BP37" s="13">
        <v>6.2779999999999996</v>
      </c>
      <c r="BQ37" s="10">
        <v>0.14599999999999999</v>
      </c>
      <c r="BR37" s="10">
        <v>7.673</v>
      </c>
      <c r="BS37" s="10">
        <v>3.786</v>
      </c>
      <c r="BT37" s="10">
        <v>1.94</v>
      </c>
      <c r="BU37" s="10">
        <v>2.2970000000000002</v>
      </c>
      <c r="BV37" s="10">
        <v>0</v>
      </c>
      <c r="BW37" s="13">
        <v>0</v>
      </c>
      <c r="BX37" s="13">
        <v>0</v>
      </c>
      <c r="BY37" s="13">
        <v>0</v>
      </c>
      <c r="BZ37" s="13">
        <v>14.596</v>
      </c>
      <c r="CA37" s="13">
        <v>7.4059999999999997</v>
      </c>
      <c r="CB37" s="13">
        <v>0</v>
      </c>
      <c r="CC37" s="13">
        <v>26.922999999999998</v>
      </c>
      <c r="CD37" s="13">
        <v>0</v>
      </c>
      <c r="CE37" s="13">
        <v>12.714</v>
      </c>
      <c r="CF37" s="13">
        <v>31.375</v>
      </c>
      <c r="CG37" s="13">
        <v>5.7089999999999996</v>
      </c>
      <c r="CH37" s="13">
        <v>0</v>
      </c>
      <c r="CI37" s="13">
        <v>0.97099999999999997</v>
      </c>
      <c r="CJ37" s="13">
        <v>3.2069999999999999</v>
      </c>
      <c r="CK37" s="13">
        <v>2.6680000000000001</v>
      </c>
      <c r="CL37" s="13">
        <v>3.3090000000000002</v>
      </c>
      <c r="CM37" s="13">
        <v>2.238</v>
      </c>
      <c r="CN37" s="13">
        <v>0</v>
      </c>
      <c r="CO37" s="13">
        <v>4.4080000000000004</v>
      </c>
      <c r="CP37" s="13">
        <v>0.68</v>
      </c>
      <c r="CQ37" s="13">
        <v>22.262</v>
      </c>
      <c r="CR37" s="10">
        <v>8.1080000000000005</v>
      </c>
      <c r="CS37" s="10">
        <v>0.40799999999999997</v>
      </c>
      <c r="CT37" s="10">
        <v>6.327</v>
      </c>
      <c r="CU37" s="10">
        <v>0.95899999999999996</v>
      </c>
      <c r="CV37" s="10">
        <v>0</v>
      </c>
      <c r="CW37" s="10">
        <v>33.335000000000001</v>
      </c>
      <c r="CX37" s="10">
        <v>2.1890000000000001</v>
      </c>
      <c r="CY37" s="10">
        <v>0.75600000000000001</v>
      </c>
    </row>
    <row r="38" spans="1:103" x14ac:dyDescent="0.25">
      <c r="A38" s="5" t="s">
        <v>99</v>
      </c>
      <c r="B38" s="10">
        <v>47.496000000000002</v>
      </c>
      <c r="C38" s="10">
        <v>3.6139999999999999</v>
      </c>
      <c r="D38" s="10">
        <v>1.9590000000000001</v>
      </c>
      <c r="E38" s="10">
        <v>12.561</v>
      </c>
      <c r="F38" s="10">
        <v>0</v>
      </c>
      <c r="G38" s="10">
        <v>2.331</v>
      </c>
      <c r="H38" s="10">
        <v>27.47</v>
      </c>
      <c r="I38" s="10">
        <v>0</v>
      </c>
      <c r="J38" s="10">
        <v>0</v>
      </c>
      <c r="K38" s="10">
        <v>24.978999999999999</v>
      </c>
      <c r="L38" s="13">
        <v>0</v>
      </c>
      <c r="M38" s="13">
        <v>0</v>
      </c>
      <c r="N38" s="13">
        <v>0.36899999999999999</v>
      </c>
      <c r="O38" s="13">
        <v>0</v>
      </c>
      <c r="P38" s="13">
        <v>0</v>
      </c>
      <c r="Q38" s="13">
        <v>5.0599999999999996</v>
      </c>
      <c r="R38" s="13">
        <v>0.14099999999999999</v>
      </c>
      <c r="S38" s="13">
        <v>0</v>
      </c>
      <c r="T38" s="13">
        <v>1.2450000000000001</v>
      </c>
      <c r="U38" s="13">
        <v>1.2769999999999999</v>
      </c>
      <c r="V38" s="13">
        <v>0.40100000000000002</v>
      </c>
      <c r="W38" s="13">
        <v>1.0329999999999999</v>
      </c>
      <c r="X38" s="13">
        <v>0.54400000000000004</v>
      </c>
      <c r="Y38" s="13">
        <v>7.1440000000000001</v>
      </c>
      <c r="Z38" s="13">
        <v>3.258</v>
      </c>
      <c r="AA38" s="13">
        <v>0</v>
      </c>
      <c r="AB38" s="13">
        <v>0</v>
      </c>
      <c r="AC38" s="13">
        <v>7.6120000000000001</v>
      </c>
      <c r="AD38" s="13">
        <v>23.036999999999999</v>
      </c>
      <c r="AE38" s="13">
        <v>0.432</v>
      </c>
      <c r="AF38" s="13">
        <v>11.231</v>
      </c>
      <c r="AG38" s="13">
        <v>0.28299999999999997</v>
      </c>
      <c r="AH38" s="13">
        <v>0</v>
      </c>
      <c r="AI38" s="13">
        <v>4.2060000000000004</v>
      </c>
      <c r="AJ38" s="13">
        <v>0</v>
      </c>
      <c r="AK38" s="13">
        <v>0</v>
      </c>
      <c r="AL38" s="13">
        <v>5.2030000000000003</v>
      </c>
      <c r="AM38" s="13">
        <v>0</v>
      </c>
      <c r="AN38" s="13">
        <v>0</v>
      </c>
      <c r="AO38" s="13">
        <v>0</v>
      </c>
      <c r="AP38" s="13">
        <v>4.3360000000000003</v>
      </c>
      <c r="AQ38" s="10">
        <v>0</v>
      </c>
      <c r="AR38" s="10">
        <v>14.111000000000001</v>
      </c>
      <c r="AS38" s="10">
        <v>5.1340000000000003</v>
      </c>
      <c r="AT38" s="10">
        <v>3.2080000000000002</v>
      </c>
      <c r="AU38" s="10">
        <v>0</v>
      </c>
      <c r="AV38" s="10">
        <v>0</v>
      </c>
      <c r="AW38" s="10">
        <v>0.48499999999999999</v>
      </c>
      <c r="AX38" s="10">
        <v>0</v>
      </c>
      <c r="AY38" s="10">
        <v>5.83</v>
      </c>
      <c r="AZ38" s="13">
        <v>0</v>
      </c>
      <c r="BA38" s="13">
        <v>0</v>
      </c>
      <c r="BB38" s="13">
        <v>0</v>
      </c>
      <c r="BC38" s="13">
        <v>0.30499999999999999</v>
      </c>
      <c r="BD38" s="13">
        <v>1.6890000000000001</v>
      </c>
      <c r="BE38" s="13">
        <v>0</v>
      </c>
      <c r="BF38" s="13">
        <v>0</v>
      </c>
      <c r="BG38" s="13">
        <v>3.8690000000000002</v>
      </c>
      <c r="BH38" s="10">
        <v>7.9240000000000004</v>
      </c>
      <c r="BI38" s="10">
        <v>0</v>
      </c>
      <c r="BJ38" s="10">
        <v>14.6</v>
      </c>
      <c r="BK38" s="13">
        <v>0</v>
      </c>
      <c r="BL38" s="13">
        <v>17.452999999999999</v>
      </c>
      <c r="BM38" s="13">
        <v>28.097000000000001</v>
      </c>
      <c r="BN38" s="13">
        <v>6.6920000000000002</v>
      </c>
      <c r="BO38" s="13">
        <v>18.957999999999998</v>
      </c>
      <c r="BP38" s="13">
        <v>23.346</v>
      </c>
      <c r="BQ38" s="10">
        <v>0.193</v>
      </c>
      <c r="BR38" s="10">
        <v>1.5349999999999999</v>
      </c>
      <c r="BS38" s="10">
        <v>5.6790000000000003</v>
      </c>
      <c r="BT38" s="10">
        <v>5.8209999999999997</v>
      </c>
      <c r="BU38" s="10">
        <v>13.404</v>
      </c>
      <c r="BV38" s="10">
        <v>4.4640000000000004</v>
      </c>
      <c r="BW38" s="13">
        <v>0.94299999999999995</v>
      </c>
      <c r="BX38" s="13">
        <v>0</v>
      </c>
      <c r="BY38" s="13">
        <v>0</v>
      </c>
      <c r="BZ38" s="13">
        <v>0.36499999999999999</v>
      </c>
      <c r="CA38" s="13">
        <v>6.476</v>
      </c>
      <c r="CB38" s="13">
        <v>0</v>
      </c>
      <c r="CC38" s="13">
        <v>11.945</v>
      </c>
      <c r="CD38" s="13">
        <v>15.131</v>
      </c>
      <c r="CE38" s="13">
        <v>36.436999999999998</v>
      </c>
      <c r="CF38" s="13">
        <v>0</v>
      </c>
      <c r="CG38" s="13">
        <v>4.2640000000000002</v>
      </c>
      <c r="CH38" s="13">
        <v>0</v>
      </c>
      <c r="CI38" s="13">
        <v>0</v>
      </c>
      <c r="CJ38" s="13">
        <v>2.27</v>
      </c>
      <c r="CK38" s="13">
        <v>3.452</v>
      </c>
      <c r="CL38" s="13">
        <v>9.2829999999999995</v>
      </c>
      <c r="CM38" s="13">
        <v>1.57</v>
      </c>
      <c r="CN38" s="13">
        <v>0</v>
      </c>
      <c r="CO38" s="13">
        <v>6.6120000000000001</v>
      </c>
      <c r="CP38" s="13">
        <v>2.093</v>
      </c>
      <c r="CQ38" s="13">
        <v>17.945</v>
      </c>
      <c r="CR38" s="10">
        <v>6.2320000000000002</v>
      </c>
      <c r="CS38" s="10">
        <v>6.1989999999999998</v>
      </c>
      <c r="CT38" s="10">
        <v>0</v>
      </c>
      <c r="CU38" s="10">
        <v>0</v>
      </c>
      <c r="CV38" s="10">
        <v>0</v>
      </c>
      <c r="CW38" s="10">
        <v>0.36299999999999999</v>
      </c>
      <c r="CX38" s="10">
        <v>1.6859999999999999</v>
      </c>
      <c r="CY38" s="10">
        <v>0.378</v>
      </c>
    </row>
    <row r="39" spans="1:103" x14ac:dyDescent="0.25">
      <c r="A39" s="5" t="s">
        <v>98</v>
      </c>
      <c r="B39" s="10">
        <v>41.558999999999997</v>
      </c>
      <c r="C39" s="10">
        <v>3.6139999999999999</v>
      </c>
      <c r="D39" s="10">
        <v>1.47</v>
      </c>
      <c r="E39" s="10">
        <v>0</v>
      </c>
      <c r="F39" s="10">
        <v>0</v>
      </c>
      <c r="G39" s="10">
        <v>17.503</v>
      </c>
      <c r="H39" s="10">
        <v>5.2270000000000003</v>
      </c>
      <c r="I39" s="10">
        <v>19.994</v>
      </c>
      <c r="J39" s="10">
        <v>0</v>
      </c>
      <c r="K39" s="10">
        <v>0</v>
      </c>
      <c r="L39" s="13">
        <v>0</v>
      </c>
      <c r="M39" s="13">
        <v>0</v>
      </c>
      <c r="N39" s="13">
        <v>0</v>
      </c>
      <c r="O39" s="13">
        <v>0.113</v>
      </c>
      <c r="P39" s="13">
        <v>0.55400000000000005</v>
      </c>
      <c r="Q39" s="13">
        <v>3.4470000000000001</v>
      </c>
      <c r="R39" s="13">
        <v>0</v>
      </c>
      <c r="S39" s="13">
        <v>0</v>
      </c>
      <c r="T39" s="13">
        <v>1.556</v>
      </c>
      <c r="U39" s="13">
        <v>0</v>
      </c>
      <c r="V39" s="13">
        <v>0.80200000000000005</v>
      </c>
      <c r="W39" s="13">
        <v>1.0329999999999999</v>
      </c>
      <c r="X39" s="13">
        <v>0</v>
      </c>
      <c r="Y39" s="13">
        <v>3.359</v>
      </c>
      <c r="Z39" s="13">
        <v>0</v>
      </c>
      <c r="AA39" s="13">
        <v>2.0790000000000002</v>
      </c>
      <c r="AB39" s="13">
        <v>0</v>
      </c>
      <c r="AC39" s="13">
        <v>0</v>
      </c>
      <c r="AD39" s="13">
        <v>0</v>
      </c>
      <c r="AE39" s="13">
        <v>11.72</v>
      </c>
      <c r="AF39" s="13">
        <v>0</v>
      </c>
      <c r="AG39" s="13">
        <v>1.413</v>
      </c>
      <c r="AH39" s="13">
        <v>9.0619999999999994</v>
      </c>
      <c r="AI39" s="13">
        <v>8.6050000000000004</v>
      </c>
      <c r="AJ39" s="13">
        <v>0.76200000000000001</v>
      </c>
      <c r="AK39" s="13">
        <v>0</v>
      </c>
      <c r="AL39" s="13">
        <v>0</v>
      </c>
      <c r="AM39" s="13">
        <v>0</v>
      </c>
      <c r="AN39" s="13">
        <v>2.85</v>
      </c>
      <c r="AO39" s="13">
        <v>0</v>
      </c>
      <c r="AP39" s="13">
        <v>9.843</v>
      </c>
      <c r="AQ39" s="10">
        <v>0</v>
      </c>
      <c r="AR39" s="10">
        <v>16.201000000000001</v>
      </c>
      <c r="AS39" s="10">
        <v>5.1340000000000003</v>
      </c>
      <c r="AT39" s="10">
        <v>3.2080000000000002</v>
      </c>
      <c r="AU39" s="10">
        <v>14.653</v>
      </c>
      <c r="AV39" s="10">
        <v>0</v>
      </c>
      <c r="AW39" s="10">
        <v>0</v>
      </c>
      <c r="AX39" s="10">
        <v>5.8109999999999999</v>
      </c>
      <c r="AY39" s="10">
        <v>2.621</v>
      </c>
      <c r="AZ39" s="13">
        <v>0</v>
      </c>
      <c r="BA39" s="13">
        <v>0.63400000000000001</v>
      </c>
      <c r="BB39" s="13">
        <v>0</v>
      </c>
      <c r="BC39" s="13">
        <v>0</v>
      </c>
      <c r="BD39" s="13">
        <v>1.6890000000000001</v>
      </c>
      <c r="BE39" s="13">
        <v>0</v>
      </c>
      <c r="BF39" s="13">
        <v>0</v>
      </c>
      <c r="BG39" s="13">
        <v>2.9980000000000002</v>
      </c>
      <c r="BH39" s="10">
        <v>0</v>
      </c>
      <c r="BI39" s="10">
        <v>2.0569999999999999</v>
      </c>
      <c r="BJ39" s="10">
        <v>4.867</v>
      </c>
      <c r="BK39" s="13">
        <v>0</v>
      </c>
      <c r="BL39" s="13">
        <v>13.583</v>
      </c>
      <c r="BM39" s="13">
        <v>29.707999999999998</v>
      </c>
      <c r="BN39" s="13">
        <v>3.8050000000000002</v>
      </c>
      <c r="BO39" s="13">
        <v>6.319</v>
      </c>
      <c r="BP39" s="13">
        <v>46.692999999999998</v>
      </c>
      <c r="BQ39" s="10">
        <v>0.629</v>
      </c>
      <c r="BR39" s="10">
        <v>0</v>
      </c>
      <c r="BS39" s="10">
        <v>1.893</v>
      </c>
      <c r="BT39" s="10">
        <v>0</v>
      </c>
      <c r="BU39" s="10">
        <v>5.5540000000000003</v>
      </c>
      <c r="BV39" s="10">
        <v>3.3479999999999999</v>
      </c>
      <c r="BW39" s="13">
        <v>0.35499999999999998</v>
      </c>
      <c r="BX39" s="13">
        <v>0.39300000000000002</v>
      </c>
      <c r="BY39" s="13">
        <v>0</v>
      </c>
      <c r="BZ39" s="13">
        <v>6.694</v>
      </c>
      <c r="CA39" s="13">
        <v>0</v>
      </c>
      <c r="CB39" s="13">
        <v>0</v>
      </c>
      <c r="CC39" s="13">
        <v>0</v>
      </c>
      <c r="CD39" s="13">
        <v>1.252</v>
      </c>
      <c r="CE39" s="13">
        <v>0</v>
      </c>
      <c r="CF39" s="13">
        <v>0</v>
      </c>
      <c r="CG39" s="13">
        <v>0.64700000000000002</v>
      </c>
      <c r="CH39" s="13">
        <v>2.371</v>
      </c>
      <c r="CI39" s="13">
        <v>1.472</v>
      </c>
      <c r="CJ39" s="13">
        <v>5.0049999999999999</v>
      </c>
      <c r="CK39" s="13">
        <v>8.048</v>
      </c>
      <c r="CL39" s="13">
        <v>3.8039999999999998</v>
      </c>
      <c r="CM39" s="13">
        <v>5.3789999999999996</v>
      </c>
      <c r="CN39" s="13">
        <v>3.645</v>
      </c>
      <c r="CO39" s="13">
        <v>2.2040000000000002</v>
      </c>
      <c r="CP39" s="13">
        <v>3.694</v>
      </c>
      <c r="CQ39" s="13">
        <v>1.272</v>
      </c>
      <c r="CR39" s="10">
        <v>2.7040000000000002</v>
      </c>
      <c r="CS39" s="10">
        <v>0</v>
      </c>
      <c r="CT39" s="10">
        <v>0</v>
      </c>
      <c r="CU39" s="10">
        <v>0.32</v>
      </c>
      <c r="CV39" s="10">
        <v>12.648999999999999</v>
      </c>
      <c r="CW39" s="10">
        <v>27.478999999999999</v>
      </c>
      <c r="CX39" s="10">
        <v>0</v>
      </c>
      <c r="CY39" s="10">
        <v>0.75600000000000001</v>
      </c>
    </row>
    <row r="40" spans="1:103" x14ac:dyDescent="0.25">
      <c r="A40" s="5" t="s">
        <v>97</v>
      </c>
      <c r="B40" s="10">
        <v>29.327000000000002</v>
      </c>
      <c r="C40" s="10">
        <v>3.6139999999999999</v>
      </c>
      <c r="D40" s="10">
        <v>0.49</v>
      </c>
      <c r="E40" s="10">
        <v>2.097</v>
      </c>
      <c r="F40" s="10">
        <v>0.65700000000000003</v>
      </c>
      <c r="G40" s="10">
        <v>23.709</v>
      </c>
      <c r="H40" s="10">
        <v>0</v>
      </c>
      <c r="I40" s="10">
        <v>5.7770000000000001</v>
      </c>
      <c r="J40" s="10">
        <v>5.5E-2</v>
      </c>
      <c r="K40" s="10">
        <v>37.749000000000002</v>
      </c>
      <c r="L40" s="13">
        <v>0</v>
      </c>
      <c r="M40" s="13">
        <v>0</v>
      </c>
      <c r="N40" s="13">
        <v>1.1060000000000001</v>
      </c>
      <c r="O40" s="13">
        <v>0.19400000000000001</v>
      </c>
      <c r="P40" s="13">
        <v>2.0179999999999998</v>
      </c>
      <c r="Q40" s="13">
        <v>3.4470000000000001</v>
      </c>
      <c r="R40" s="13">
        <v>0</v>
      </c>
      <c r="S40" s="13">
        <v>2.1859999999999999</v>
      </c>
      <c r="T40" s="13">
        <v>5.2629999999999999</v>
      </c>
      <c r="U40" s="13">
        <v>0</v>
      </c>
      <c r="V40" s="13">
        <v>2.7010000000000001</v>
      </c>
      <c r="W40" s="13">
        <v>0</v>
      </c>
      <c r="X40" s="13">
        <v>0.54400000000000004</v>
      </c>
      <c r="Y40" s="13">
        <v>4.1289999999999996</v>
      </c>
      <c r="Z40" s="13">
        <v>0.90100000000000002</v>
      </c>
      <c r="AA40" s="13">
        <v>9.19</v>
      </c>
      <c r="AB40" s="13">
        <v>0</v>
      </c>
      <c r="AC40" s="13">
        <v>5.125</v>
      </c>
      <c r="AD40" s="13">
        <v>23.082999999999998</v>
      </c>
      <c r="AE40" s="13">
        <v>11.72</v>
      </c>
      <c r="AF40" s="13">
        <v>0</v>
      </c>
      <c r="AG40" s="13">
        <v>0</v>
      </c>
      <c r="AH40" s="13">
        <v>6.7960000000000003</v>
      </c>
      <c r="AI40" s="13">
        <v>3.4420000000000002</v>
      </c>
      <c r="AJ40" s="13">
        <v>0</v>
      </c>
      <c r="AK40" s="13">
        <v>0.76200000000000001</v>
      </c>
      <c r="AL40" s="13">
        <v>4.4390000000000001</v>
      </c>
      <c r="AM40" s="13">
        <v>0</v>
      </c>
      <c r="AN40" s="13">
        <v>0</v>
      </c>
      <c r="AO40" s="13">
        <v>13.907999999999999</v>
      </c>
      <c r="AP40" s="13">
        <v>0</v>
      </c>
      <c r="AQ40" s="10">
        <v>0</v>
      </c>
      <c r="AR40" s="10">
        <v>27.741</v>
      </c>
      <c r="AS40" s="10">
        <v>2.5670000000000002</v>
      </c>
      <c r="AT40" s="10">
        <v>12.831</v>
      </c>
      <c r="AU40" s="10">
        <v>0</v>
      </c>
      <c r="AV40" s="10">
        <v>4.7130000000000001</v>
      </c>
      <c r="AW40" s="10">
        <v>0</v>
      </c>
      <c r="AX40" s="10">
        <v>1.748</v>
      </c>
      <c r="AY40" s="10">
        <v>2.621</v>
      </c>
      <c r="AZ40" s="13">
        <v>0.502</v>
      </c>
      <c r="BA40" s="13">
        <v>0</v>
      </c>
      <c r="BB40" s="13">
        <v>0.90400000000000003</v>
      </c>
      <c r="BC40" s="13">
        <v>0</v>
      </c>
      <c r="BD40" s="13">
        <v>0.65300000000000002</v>
      </c>
      <c r="BE40" s="13">
        <v>0</v>
      </c>
      <c r="BF40" s="13">
        <v>0.47799999999999998</v>
      </c>
      <c r="BG40" s="13">
        <v>1.2809999999999999</v>
      </c>
      <c r="BH40" s="10">
        <v>4.319</v>
      </c>
      <c r="BI40" s="10">
        <v>4.1130000000000004</v>
      </c>
      <c r="BJ40" s="10">
        <v>0</v>
      </c>
      <c r="BK40" s="13">
        <v>0</v>
      </c>
      <c r="BL40" s="13">
        <v>0</v>
      </c>
      <c r="BM40" s="13">
        <v>6.9809999999999999</v>
      </c>
      <c r="BN40" s="13">
        <v>3.3460000000000001</v>
      </c>
      <c r="BO40" s="13">
        <v>0</v>
      </c>
      <c r="BP40" s="13">
        <v>19.442</v>
      </c>
      <c r="BQ40" s="10">
        <v>1.2589999999999999</v>
      </c>
      <c r="BR40" s="10">
        <v>3.069</v>
      </c>
      <c r="BS40" s="10">
        <v>2.677</v>
      </c>
      <c r="BT40" s="10">
        <v>2.2429999999999999</v>
      </c>
      <c r="BU40" s="10">
        <v>0</v>
      </c>
      <c r="BV40" s="10">
        <v>2.7029999999999998</v>
      </c>
      <c r="BW40" s="13">
        <v>0.35499999999999998</v>
      </c>
      <c r="BX40" s="13">
        <v>0</v>
      </c>
      <c r="BY40" s="13">
        <v>0</v>
      </c>
      <c r="BZ40" s="13">
        <v>6.0720000000000001</v>
      </c>
      <c r="CA40" s="13">
        <v>13.996</v>
      </c>
      <c r="CB40" s="13">
        <v>0</v>
      </c>
      <c r="CC40" s="13">
        <v>22.006</v>
      </c>
      <c r="CD40" s="13">
        <v>21.047000000000001</v>
      </c>
      <c r="CE40" s="13">
        <v>24.097999999999999</v>
      </c>
      <c r="CF40" s="13">
        <v>19.817</v>
      </c>
      <c r="CG40" s="13">
        <v>4.99</v>
      </c>
      <c r="CH40" s="13">
        <v>0.54100000000000004</v>
      </c>
      <c r="CI40" s="13">
        <v>0</v>
      </c>
      <c r="CJ40" s="13">
        <v>3.2280000000000002</v>
      </c>
      <c r="CK40" s="13">
        <v>0</v>
      </c>
      <c r="CL40" s="13">
        <v>0.64200000000000002</v>
      </c>
      <c r="CM40" s="13">
        <v>4.7110000000000003</v>
      </c>
      <c r="CN40" s="13">
        <v>0</v>
      </c>
      <c r="CO40" s="13">
        <v>2.2040000000000002</v>
      </c>
      <c r="CP40" s="13">
        <v>0</v>
      </c>
      <c r="CQ40" s="13">
        <v>11.397</v>
      </c>
      <c r="CR40" s="10">
        <v>0</v>
      </c>
      <c r="CS40" s="10">
        <v>0.32800000000000001</v>
      </c>
      <c r="CT40" s="10">
        <v>0</v>
      </c>
      <c r="CU40" s="10">
        <v>0</v>
      </c>
      <c r="CV40" s="10">
        <v>19.472000000000001</v>
      </c>
      <c r="CW40" s="10">
        <v>5.0380000000000003</v>
      </c>
      <c r="CX40" s="10">
        <v>0.996</v>
      </c>
      <c r="CY40" s="10">
        <v>0.75600000000000001</v>
      </c>
    </row>
    <row r="41" spans="1:103" x14ac:dyDescent="0.25">
      <c r="A41" s="5" t="s">
        <v>96</v>
      </c>
      <c r="B41" s="10">
        <v>52.540999999999997</v>
      </c>
      <c r="C41" s="10">
        <v>0.36</v>
      </c>
      <c r="D41" s="10">
        <v>0.98</v>
      </c>
      <c r="E41" s="10">
        <v>4.194</v>
      </c>
      <c r="F41" s="10">
        <v>0</v>
      </c>
      <c r="G41" s="10">
        <v>0</v>
      </c>
      <c r="H41" s="10">
        <v>9.8559999999999999</v>
      </c>
      <c r="I41" s="10">
        <v>6.1639999999999997</v>
      </c>
      <c r="J41" s="10">
        <v>0</v>
      </c>
      <c r="K41" s="10">
        <v>5.702</v>
      </c>
      <c r="L41" s="13">
        <v>0</v>
      </c>
      <c r="M41" s="13">
        <v>0</v>
      </c>
      <c r="N41" s="13">
        <v>0.73699999999999999</v>
      </c>
      <c r="O41" s="13">
        <v>0</v>
      </c>
      <c r="P41" s="13">
        <v>3.85</v>
      </c>
      <c r="Q41" s="13">
        <v>5.1710000000000003</v>
      </c>
      <c r="R41" s="13">
        <v>0</v>
      </c>
      <c r="S41" s="13">
        <v>0.72899999999999998</v>
      </c>
      <c r="T41" s="13">
        <v>1.409</v>
      </c>
      <c r="U41" s="13">
        <v>1.7170000000000001</v>
      </c>
      <c r="V41" s="13">
        <v>1.351</v>
      </c>
      <c r="W41" s="13">
        <v>0</v>
      </c>
      <c r="X41" s="13">
        <v>0</v>
      </c>
      <c r="Y41" s="13">
        <v>3.359</v>
      </c>
      <c r="Z41" s="13">
        <v>1.6259999999999999</v>
      </c>
      <c r="AA41" s="13">
        <v>18.38</v>
      </c>
      <c r="AB41" s="13">
        <v>0</v>
      </c>
      <c r="AC41" s="13">
        <v>5.125</v>
      </c>
      <c r="AD41" s="13">
        <v>13.71</v>
      </c>
      <c r="AE41" s="13">
        <v>0</v>
      </c>
      <c r="AF41" s="13">
        <v>7.83</v>
      </c>
      <c r="AG41" s="13">
        <v>1.085</v>
      </c>
      <c r="AH41" s="13">
        <v>6.7960000000000003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9.843</v>
      </c>
      <c r="AQ41" s="10">
        <v>2.7770000000000001</v>
      </c>
      <c r="AR41" s="10">
        <v>16.201000000000001</v>
      </c>
      <c r="AS41" s="10">
        <v>4.681</v>
      </c>
      <c r="AT41" s="10">
        <v>3.2080000000000002</v>
      </c>
      <c r="AU41" s="10">
        <v>0</v>
      </c>
      <c r="AV41" s="10">
        <v>2.4500000000000002</v>
      </c>
      <c r="AW41" s="10">
        <v>0</v>
      </c>
      <c r="AX41" s="10">
        <v>0</v>
      </c>
      <c r="AY41" s="10">
        <v>3.2679999999999998</v>
      </c>
      <c r="AZ41" s="13">
        <v>0</v>
      </c>
      <c r="BA41" s="13">
        <v>0</v>
      </c>
      <c r="BB41" s="13">
        <v>0</v>
      </c>
      <c r="BC41" s="13">
        <v>0</v>
      </c>
      <c r="BD41" s="13">
        <v>0.65300000000000002</v>
      </c>
      <c r="BE41" s="13">
        <v>2.855</v>
      </c>
      <c r="BF41" s="13">
        <v>0</v>
      </c>
      <c r="BG41" s="13">
        <v>6.1429999999999998</v>
      </c>
      <c r="BH41" s="10">
        <v>3.6389999999999998</v>
      </c>
      <c r="BI41" s="10">
        <v>0</v>
      </c>
      <c r="BJ41" s="10">
        <v>0</v>
      </c>
      <c r="BK41" s="13">
        <v>27.292000000000002</v>
      </c>
      <c r="BL41" s="13">
        <v>12.481999999999999</v>
      </c>
      <c r="BM41" s="13">
        <v>21.116</v>
      </c>
      <c r="BN41" s="13">
        <v>1.214</v>
      </c>
      <c r="BO41" s="13">
        <v>0</v>
      </c>
      <c r="BP41" s="13">
        <v>0</v>
      </c>
      <c r="BQ41" s="10">
        <v>1.8879999999999999</v>
      </c>
      <c r="BR41" s="10">
        <v>3.069</v>
      </c>
      <c r="BS41" s="10">
        <v>7.673</v>
      </c>
      <c r="BT41" s="10">
        <v>1.496</v>
      </c>
      <c r="BU41" s="10">
        <v>0</v>
      </c>
      <c r="BV41" s="10">
        <v>5.95</v>
      </c>
      <c r="BW41" s="13">
        <v>0.32100000000000001</v>
      </c>
      <c r="BX41" s="13">
        <v>0</v>
      </c>
      <c r="BY41" s="13">
        <v>8.2189999999999994</v>
      </c>
      <c r="BZ41" s="13">
        <v>23.664000000000001</v>
      </c>
      <c r="CA41" s="13">
        <v>8.5050000000000008</v>
      </c>
      <c r="CB41" s="13">
        <v>0</v>
      </c>
      <c r="CC41" s="13">
        <v>0</v>
      </c>
      <c r="CD41" s="13">
        <v>11.763999999999999</v>
      </c>
      <c r="CE41" s="13">
        <v>19.713000000000001</v>
      </c>
      <c r="CF41" s="13">
        <v>22.875</v>
      </c>
      <c r="CG41" s="13">
        <v>2.1659999999999999</v>
      </c>
      <c r="CH41" s="13">
        <v>1.3340000000000001</v>
      </c>
      <c r="CI41" s="13">
        <v>0</v>
      </c>
      <c r="CJ41" s="13">
        <v>1.7789999999999999</v>
      </c>
      <c r="CK41" s="13">
        <v>8.048</v>
      </c>
      <c r="CL41" s="13">
        <v>10.701000000000001</v>
      </c>
      <c r="CM41" s="13">
        <v>3.141</v>
      </c>
      <c r="CN41" s="13">
        <v>6.165</v>
      </c>
      <c r="CO41" s="13">
        <v>4.4080000000000004</v>
      </c>
      <c r="CP41" s="13">
        <v>0</v>
      </c>
      <c r="CQ41" s="13">
        <v>22.795000000000002</v>
      </c>
      <c r="CR41" s="10">
        <v>0</v>
      </c>
      <c r="CS41" s="10">
        <v>0</v>
      </c>
      <c r="CT41" s="10">
        <v>1.2649999999999999</v>
      </c>
      <c r="CU41" s="10">
        <v>0.11</v>
      </c>
      <c r="CV41" s="10">
        <v>0</v>
      </c>
      <c r="CW41" s="10">
        <v>6.87</v>
      </c>
      <c r="CX41" s="10">
        <v>1.9910000000000001</v>
      </c>
      <c r="CY41" s="10">
        <v>0.378</v>
      </c>
    </row>
    <row r="42" spans="1:103" x14ac:dyDescent="0.25">
      <c r="A42" s="5" t="s">
        <v>95</v>
      </c>
      <c r="B42" s="10">
        <v>9.5190000000000001</v>
      </c>
      <c r="C42" s="10">
        <v>1.429</v>
      </c>
      <c r="D42" s="10">
        <v>0.98</v>
      </c>
      <c r="E42" s="10">
        <v>0</v>
      </c>
      <c r="F42" s="10">
        <v>0</v>
      </c>
      <c r="G42" s="10">
        <v>0</v>
      </c>
      <c r="H42" s="10">
        <v>0</v>
      </c>
      <c r="I42" s="10">
        <v>27.47</v>
      </c>
      <c r="J42" s="10">
        <v>0</v>
      </c>
      <c r="K42" s="10">
        <v>0</v>
      </c>
      <c r="L42" s="13">
        <v>0</v>
      </c>
      <c r="M42" s="13">
        <v>3.5739999999999998</v>
      </c>
      <c r="N42" s="13">
        <v>0</v>
      </c>
      <c r="O42" s="13">
        <v>0.19400000000000001</v>
      </c>
      <c r="P42" s="13">
        <v>2.7480000000000002</v>
      </c>
      <c r="Q42" s="13">
        <v>3.4470000000000001</v>
      </c>
      <c r="R42" s="13">
        <v>3.2229999999999999</v>
      </c>
      <c r="S42" s="13">
        <v>2.9140000000000001</v>
      </c>
      <c r="T42" s="13">
        <v>0</v>
      </c>
      <c r="U42" s="13">
        <v>1.7170000000000001</v>
      </c>
      <c r="V42" s="13">
        <v>0</v>
      </c>
      <c r="W42" s="13">
        <v>0</v>
      </c>
      <c r="X42" s="13">
        <v>0.92</v>
      </c>
      <c r="Y42" s="13">
        <v>2.2759999999999998</v>
      </c>
      <c r="Z42" s="13">
        <v>0</v>
      </c>
      <c r="AA42" s="13">
        <v>9.6110000000000007</v>
      </c>
      <c r="AB42" s="13">
        <v>0</v>
      </c>
      <c r="AC42" s="13">
        <v>6.7830000000000004</v>
      </c>
      <c r="AD42" s="13">
        <v>2.214</v>
      </c>
      <c r="AE42" s="13">
        <v>3.54</v>
      </c>
      <c r="AF42" s="13">
        <v>0</v>
      </c>
      <c r="AG42" s="13">
        <v>0</v>
      </c>
      <c r="AH42" s="13">
        <v>4.8029999999999999</v>
      </c>
      <c r="AI42" s="13">
        <v>3.4420000000000002</v>
      </c>
      <c r="AJ42" s="13">
        <v>0</v>
      </c>
      <c r="AK42" s="13">
        <v>0</v>
      </c>
      <c r="AL42" s="13">
        <v>8.8770000000000007</v>
      </c>
      <c r="AM42" s="13">
        <v>0</v>
      </c>
      <c r="AN42" s="13">
        <v>0</v>
      </c>
      <c r="AO42" s="13">
        <v>0</v>
      </c>
      <c r="AP42" s="13">
        <v>0</v>
      </c>
      <c r="AQ42" s="10">
        <v>23.440999999999999</v>
      </c>
      <c r="AR42" s="10">
        <v>50.798000000000002</v>
      </c>
      <c r="AS42" s="10">
        <v>2.34</v>
      </c>
      <c r="AT42" s="10">
        <v>0</v>
      </c>
      <c r="AU42" s="10">
        <v>3.3490000000000002</v>
      </c>
      <c r="AV42" s="10">
        <v>0</v>
      </c>
      <c r="AW42" s="10">
        <v>0</v>
      </c>
      <c r="AX42" s="10">
        <v>1.748</v>
      </c>
      <c r="AY42" s="10">
        <v>3.2679999999999998</v>
      </c>
      <c r="AZ42" s="13">
        <v>0.438</v>
      </c>
      <c r="BA42" s="13">
        <v>0</v>
      </c>
      <c r="BB42" s="13">
        <v>0</v>
      </c>
      <c r="BC42" s="13">
        <v>0</v>
      </c>
      <c r="BD42" s="13">
        <v>1.3049999999999999</v>
      </c>
      <c r="BE42" s="13">
        <v>0</v>
      </c>
      <c r="BF42" s="13">
        <v>0.56599999999999995</v>
      </c>
      <c r="BG42" s="13">
        <v>0</v>
      </c>
      <c r="BH42" s="10">
        <v>4.319</v>
      </c>
      <c r="BI42" s="10">
        <v>0</v>
      </c>
      <c r="BJ42" s="10">
        <v>0</v>
      </c>
      <c r="BK42" s="13">
        <v>9.0969999999999995</v>
      </c>
      <c r="BL42" s="13">
        <v>0</v>
      </c>
      <c r="BM42" s="13">
        <v>22.968</v>
      </c>
      <c r="BN42" s="13">
        <v>0</v>
      </c>
      <c r="BO42" s="13">
        <v>0</v>
      </c>
      <c r="BP42" s="13">
        <v>0</v>
      </c>
      <c r="BQ42" s="10">
        <v>2.5169999999999999</v>
      </c>
      <c r="BR42" s="10">
        <v>0</v>
      </c>
      <c r="BS42" s="10">
        <v>1.5349999999999999</v>
      </c>
      <c r="BT42" s="10">
        <v>1.496</v>
      </c>
      <c r="BU42" s="10">
        <v>0</v>
      </c>
      <c r="BV42" s="10">
        <v>5.2549999999999999</v>
      </c>
      <c r="BW42" s="13">
        <v>0.16</v>
      </c>
      <c r="BX42" s="13">
        <v>0.57599999999999996</v>
      </c>
      <c r="BY42" s="13">
        <v>51.613999999999997</v>
      </c>
      <c r="BZ42" s="13">
        <v>16.602</v>
      </c>
      <c r="CA42" s="13">
        <v>3.89</v>
      </c>
      <c r="CB42" s="13">
        <v>0</v>
      </c>
      <c r="CC42" s="13">
        <v>11.335000000000001</v>
      </c>
      <c r="CD42" s="13">
        <v>21.047000000000001</v>
      </c>
      <c r="CE42" s="13">
        <v>12.785</v>
      </c>
      <c r="CF42" s="13">
        <v>0</v>
      </c>
      <c r="CG42" s="13">
        <v>1.542</v>
      </c>
      <c r="CH42" s="13">
        <v>1.03</v>
      </c>
      <c r="CI42" s="13">
        <v>1.726</v>
      </c>
      <c r="CJ42" s="13">
        <v>4.5170000000000003</v>
      </c>
      <c r="CK42" s="13">
        <v>0</v>
      </c>
      <c r="CL42" s="13">
        <v>0.23699999999999999</v>
      </c>
      <c r="CM42" s="13">
        <v>1.3049999999999999</v>
      </c>
      <c r="CN42" s="13">
        <v>6.165</v>
      </c>
      <c r="CO42" s="13">
        <v>2.2040000000000002</v>
      </c>
      <c r="CP42" s="13">
        <v>0</v>
      </c>
      <c r="CQ42" s="13">
        <v>17.274000000000001</v>
      </c>
      <c r="CR42" s="10">
        <v>0</v>
      </c>
      <c r="CS42" s="10">
        <v>2.6179999999999999</v>
      </c>
      <c r="CT42" s="10">
        <v>1.4970000000000001</v>
      </c>
      <c r="CU42" s="10">
        <v>0</v>
      </c>
      <c r="CV42" s="10">
        <v>0</v>
      </c>
      <c r="CW42" s="10">
        <v>0</v>
      </c>
      <c r="CX42" s="10">
        <v>2.9870000000000001</v>
      </c>
      <c r="CY42" s="10">
        <v>0</v>
      </c>
    </row>
    <row r="43" spans="1:103" x14ac:dyDescent="0.25">
      <c r="A43" s="5" t="s">
        <v>94</v>
      </c>
      <c r="B43" s="10">
        <v>0</v>
      </c>
      <c r="C43" s="10">
        <v>0</v>
      </c>
      <c r="D43" s="10">
        <v>0</v>
      </c>
      <c r="E43" s="10">
        <v>6.2910000000000004</v>
      </c>
      <c r="F43" s="10">
        <v>0.65700000000000003</v>
      </c>
      <c r="G43" s="10">
        <v>9.0670000000000002</v>
      </c>
      <c r="H43" s="10">
        <v>18.667000000000002</v>
      </c>
      <c r="I43" s="10">
        <v>5.2270000000000003</v>
      </c>
      <c r="J43" s="10">
        <v>0</v>
      </c>
      <c r="K43" s="10">
        <v>1.425</v>
      </c>
      <c r="L43" s="13">
        <v>3.5739999999999998</v>
      </c>
      <c r="M43" s="13">
        <v>0</v>
      </c>
      <c r="N43" s="13">
        <v>0.221</v>
      </c>
      <c r="O43" s="13">
        <v>0</v>
      </c>
      <c r="P43" s="13">
        <v>2.7480000000000002</v>
      </c>
      <c r="Q43" s="13">
        <v>3.4470000000000001</v>
      </c>
      <c r="R43" s="13">
        <v>0</v>
      </c>
      <c r="S43" s="13">
        <v>0.72899999999999998</v>
      </c>
      <c r="T43" s="13">
        <v>4.1310000000000002</v>
      </c>
      <c r="U43" s="13">
        <v>0</v>
      </c>
      <c r="V43" s="13">
        <v>1.351</v>
      </c>
      <c r="W43" s="13">
        <v>0.317</v>
      </c>
      <c r="X43" s="13">
        <v>0.73599999999999999</v>
      </c>
      <c r="Y43" s="13">
        <v>2.762</v>
      </c>
      <c r="Z43" s="13">
        <v>1.8740000000000001</v>
      </c>
      <c r="AA43" s="13">
        <v>8.8010000000000002</v>
      </c>
      <c r="AB43" s="13">
        <v>0</v>
      </c>
      <c r="AC43" s="13">
        <v>13.566000000000001</v>
      </c>
      <c r="AD43" s="13">
        <v>42.667999999999999</v>
      </c>
      <c r="AE43" s="13">
        <v>0</v>
      </c>
      <c r="AF43" s="13">
        <v>0</v>
      </c>
      <c r="AG43" s="13">
        <v>0.72299999999999998</v>
      </c>
      <c r="AH43" s="13">
        <v>14.409000000000001</v>
      </c>
      <c r="AI43" s="13">
        <v>5.1630000000000003</v>
      </c>
      <c r="AJ43" s="13">
        <v>0</v>
      </c>
      <c r="AK43" s="13">
        <v>0</v>
      </c>
      <c r="AL43" s="13">
        <v>4.4390000000000001</v>
      </c>
      <c r="AM43" s="13">
        <v>0</v>
      </c>
      <c r="AN43" s="13">
        <v>0</v>
      </c>
      <c r="AO43" s="13">
        <v>28.626000000000001</v>
      </c>
      <c r="AP43" s="13">
        <v>23.06</v>
      </c>
      <c r="AQ43" s="10">
        <v>43.533999999999999</v>
      </c>
      <c r="AR43" s="10">
        <v>16.201000000000001</v>
      </c>
      <c r="AS43" s="10">
        <v>7.0209999999999999</v>
      </c>
      <c r="AT43" s="10">
        <v>0</v>
      </c>
      <c r="AU43" s="10">
        <v>8.7059999999999995</v>
      </c>
      <c r="AV43" s="10">
        <v>8.0039999999999996</v>
      </c>
      <c r="AW43" s="10">
        <v>0.157</v>
      </c>
      <c r="AX43" s="10">
        <v>1.748</v>
      </c>
      <c r="AY43" s="10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2.827</v>
      </c>
      <c r="BG43" s="13">
        <v>0</v>
      </c>
      <c r="BH43" s="10">
        <v>0</v>
      </c>
      <c r="BI43" s="10">
        <v>4.0960000000000001</v>
      </c>
      <c r="BJ43" s="10">
        <v>6.0990000000000002</v>
      </c>
      <c r="BK43" s="13">
        <v>0</v>
      </c>
      <c r="BL43" s="13">
        <v>24.963000000000001</v>
      </c>
      <c r="BM43" s="13">
        <v>28.599</v>
      </c>
      <c r="BN43" s="13">
        <v>6.44</v>
      </c>
      <c r="BO43" s="13">
        <v>14.666</v>
      </c>
      <c r="BP43" s="13">
        <v>13.89</v>
      </c>
      <c r="BQ43" s="10">
        <v>0.996</v>
      </c>
      <c r="BR43" s="10">
        <v>1.1359999999999999</v>
      </c>
      <c r="BS43" s="10">
        <v>0</v>
      </c>
      <c r="BT43" s="10">
        <v>0.748</v>
      </c>
      <c r="BU43" s="10">
        <v>5.2389999999999999</v>
      </c>
      <c r="BV43" s="10">
        <v>0</v>
      </c>
      <c r="BW43" s="13">
        <v>0.48099999999999998</v>
      </c>
      <c r="BX43" s="13">
        <v>0.34699999999999998</v>
      </c>
      <c r="BY43" s="13">
        <v>20.137</v>
      </c>
      <c r="BZ43" s="13">
        <v>18.283000000000001</v>
      </c>
      <c r="CA43" s="13">
        <v>0.17499999999999999</v>
      </c>
      <c r="CB43" s="13">
        <v>0</v>
      </c>
      <c r="CC43" s="13">
        <v>23.183</v>
      </c>
      <c r="CD43" s="13">
        <v>0</v>
      </c>
      <c r="CE43" s="13">
        <v>0</v>
      </c>
      <c r="CF43" s="13">
        <v>0</v>
      </c>
      <c r="CG43" s="13">
        <v>4.0369999999999999</v>
      </c>
      <c r="CH43" s="13">
        <v>3.5779999999999998</v>
      </c>
      <c r="CI43" s="13">
        <v>3.355</v>
      </c>
      <c r="CJ43" s="13">
        <v>0</v>
      </c>
      <c r="CK43" s="13">
        <v>0</v>
      </c>
      <c r="CL43" s="13">
        <v>0</v>
      </c>
      <c r="CM43" s="13">
        <v>2.61</v>
      </c>
      <c r="CN43" s="13">
        <v>6.165</v>
      </c>
      <c r="CO43" s="13">
        <v>2.0499999999999998</v>
      </c>
      <c r="CP43" s="13">
        <v>0</v>
      </c>
      <c r="CQ43" s="13">
        <v>11.397</v>
      </c>
      <c r="CR43" s="10">
        <v>1.0049999999999999</v>
      </c>
      <c r="CS43" s="10">
        <v>2.7669999999999999</v>
      </c>
      <c r="CT43" s="10">
        <v>0</v>
      </c>
      <c r="CU43" s="10">
        <v>0.68200000000000005</v>
      </c>
      <c r="CV43" s="10">
        <v>0</v>
      </c>
      <c r="CW43" s="10">
        <v>6.87</v>
      </c>
      <c r="CX43" s="10">
        <v>0.996</v>
      </c>
      <c r="CY43" s="10">
        <v>0</v>
      </c>
    </row>
    <row r="44" spans="1:103" x14ac:dyDescent="0.25">
      <c r="A44" s="5" t="s">
        <v>93</v>
      </c>
      <c r="B44" s="10">
        <v>49.484999999999999</v>
      </c>
      <c r="C44" s="10">
        <v>0</v>
      </c>
      <c r="D44" s="10">
        <v>0.16700000000000001</v>
      </c>
      <c r="E44" s="10">
        <v>5.8780000000000001</v>
      </c>
      <c r="F44" s="10">
        <v>1.1419999999999999</v>
      </c>
      <c r="G44" s="10">
        <v>10.539</v>
      </c>
      <c r="H44" s="10">
        <v>9.5609999999999999</v>
      </c>
      <c r="I44" s="10">
        <v>0</v>
      </c>
      <c r="J44" s="10">
        <v>76.724999999999994</v>
      </c>
      <c r="K44" s="10">
        <v>25.768000000000001</v>
      </c>
      <c r="L44" s="13">
        <v>0</v>
      </c>
      <c r="M44" s="13">
        <v>5.9939999999999998</v>
      </c>
      <c r="N44" s="13">
        <v>0.441</v>
      </c>
      <c r="O44" s="13">
        <v>9.7000000000000003E-2</v>
      </c>
      <c r="P44" s="13">
        <v>0.91600000000000004</v>
      </c>
      <c r="Q44" s="13">
        <v>0</v>
      </c>
      <c r="R44" s="13">
        <v>0</v>
      </c>
      <c r="S44" s="13">
        <v>1.4570000000000001</v>
      </c>
      <c r="T44" s="13">
        <v>1.819</v>
      </c>
      <c r="U44" s="13">
        <v>0</v>
      </c>
      <c r="V44" s="13">
        <v>1.351</v>
      </c>
      <c r="W44" s="13">
        <v>0.317</v>
      </c>
      <c r="X44" s="13">
        <v>0</v>
      </c>
      <c r="Y44" s="13">
        <v>0</v>
      </c>
      <c r="Z44" s="13">
        <v>0</v>
      </c>
      <c r="AA44" s="13">
        <v>3.875</v>
      </c>
      <c r="AB44" s="13">
        <v>0</v>
      </c>
      <c r="AC44" s="13">
        <v>0</v>
      </c>
      <c r="AD44" s="13">
        <v>23.841999999999999</v>
      </c>
      <c r="AE44" s="13">
        <v>0</v>
      </c>
      <c r="AF44" s="13">
        <v>4.7229999999999999</v>
      </c>
      <c r="AG44" s="13">
        <v>0.36199999999999999</v>
      </c>
      <c r="AH44" s="13">
        <v>9.6059999999999999</v>
      </c>
      <c r="AI44" s="13">
        <v>0</v>
      </c>
      <c r="AJ44" s="13">
        <v>0</v>
      </c>
      <c r="AK44" s="13">
        <v>0</v>
      </c>
      <c r="AL44" s="13">
        <v>13.316000000000001</v>
      </c>
      <c r="AM44" s="13">
        <v>8.61</v>
      </c>
      <c r="AN44" s="13">
        <v>0</v>
      </c>
      <c r="AO44" s="13">
        <v>8.8849999999999998</v>
      </c>
      <c r="AP44" s="13">
        <v>6.2590000000000003</v>
      </c>
      <c r="AQ44" s="10">
        <v>19.861999999999998</v>
      </c>
      <c r="AR44" s="10">
        <v>27.172000000000001</v>
      </c>
      <c r="AS44" s="10">
        <v>2.34</v>
      </c>
      <c r="AT44" s="10">
        <v>0</v>
      </c>
      <c r="AU44" s="10">
        <v>6.9669999999999996</v>
      </c>
      <c r="AV44" s="10">
        <v>0</v>
      </c>
      <c r="AW44" s="10">
        <v>0.35899999999999999</v>
      </c>
      <c r="AX44" s="10">
        <v>1.748</v>
      </c>
      <c r="AY44" s="10">
        <v>3.2679999999999998</v>
      </c>
      <c r="AZ44" s="13">
        <v>0.33100000000000002</v>
      </c>
      <c r="BA44" s="13">
        <v>0</v>
      </c>
      <c r="BB44" s="13">
        <v>0</v>
      </c>
      <c r="BC44" s="13">
        <v>0.49099999999999999</v>
      </c>
      <c r="BD44" s="13">
        <v>1.3049999999999999</v>
      </c>
      <c r="BE44" s="13">
        <v>0</v>
      </c>
      <c r="BF44" s="13">
        <v>5.6529999999999996</v>
      </c>
      <c r="BG44" s="13">
        <v>2.347</v>
      </c>
      <c r="BH44" s="10">
        <v>4.1580000000000004</v>
      </c>
      <c r="BI44" s="10">
        <v>0</v>
      </c>
      <c r="BJ44" s="10">
        <v>0</v>
      </c>
      <c r="BK44" s="13">
        <v>12.153</v>
      </c>
      <c r="BL44" s="13">
        <v>12.481999999999999</v>
      </c>
      <c r="BM44" s="13">
        <v>13.172000000000001</v>
      </c>
      <c r="BN44" s="13">
        <v>0</v>
      </c>
      <c r="BO44" s="13">
        <v>6.0540000000000003</v>
      </c>
      <c r="BP44" s="13">
        <v>0</v>
      </c>
      <c r="BQ44" s="10">
        <v>0.441</v>
      </c>
      <c r="BR44" s="10">
        <v>1.1359999999999999</v>
      </c>
      <c r="BS44" s="10">
        <v>3.069</v>
      </c>
      <c r="BT44" s="10">
        <v>0</v>
      </c>
      <c r="BU44" s="10">
        <v>0</v>
      </c>
      <c r="BV44" s="10">
        <v>6.8620000000000001</v>
      </c>
      <c r="BW44" s="13">
        <v>0.32100000000000001</v>
      </c>
      <c r="BX44" s="13">
        <v>0</v>
      </c>
      <c r="BY44" s="13">
        <v>0</v>
      </c>
      <c r="BZ44" s="13">
        <v>5.4349999999999996</v>
      </c>
      <c r="CA44" s="13">
        <v>4.524</v>
      </c>
      <c r="CB44" s="13">
        <v>0</v>
      </c>
      <c r="CC44" s="13">
        <v>12.093</v>
      </c>
      <c r="CD44" s="13">
        <v>9.9499999999999993</v>
      </c>
      <c r="CE44" s="13">
        <v>23.326000000000001</v>
      </c>
      <c r="CF44" s="13">
        <v>9.5540000000000003</v>
      </c>
      <c r="CG44" s="13">
        <v>1.1930000000000001</v>
      </c>
      <c r="CH44" s="13">
        <v>2.794</v>
      </c>
      <c r="CI44" s="13">
        <v>0</v>
      </c>
      <c r="CJ44" s="13">
        <v>0</v>
      </c>
      <c r="CK44" s="13">
        <v>0</v>
      </c>
      <c r="CL44" s="13">
        <v>1.135</v>
      </c>
      <c r="CM44" s="13">
        <v>3.9140000000000001</v>
      </c>
      <c r="CN44" s="13">
        <v>12.33</v>
      </c>
      <c r="CO44" s="13">
        <v>6.149</v>
      </c>
      <c r="CP44" s="13">
        <v>0</v>
      </c>
      <c r="CQ44" s="13">
        <v>14.076000000000001</v>
      </c>
      <c r="CR44" s="10">
        <v>9.9860000000000007</v>
      </c>
      <c r="CS44" s="10">
        <v>2.2749999999999999</v>
      </c>
      <c r="CT44" s="10">
        <v>1.4450000000000001</v>
      </c>
      <c r="CU44" s="10">
        <v>0.20200000000000001</v>
      </c>
      <c r="CV44" s="10">
        <v>0</v>
      </c>
      <c r="CW44" s="10">
        <v>28.018000000000001</v>
      </c>
      <c r="CX44" s="10">
        <v>1.3560000000000001</v>
      </c>
      <c r="CY44" s="10">
        <v>2.73</v>
      </c>
    </row>
    <row r="45" spans="1:103" x14ac:dyDescent="0.25">
      <c r="A45" s="5" t="s">
        <v>92</v>
      </c>
      <c r="B45" s="10">
        <v>61.066000000000003</v>
      </c>
      <c r="C45" s="10">
        <v>4.9000000000000004</v>
      </c>
      <c r="D45" s="10">
        <v>0.16700000000000001</v>
      </c>
      <c r="E45" s="10">
        <v>0</v>
      </c>
      <c r="F45" s="10">
        <v>0.57099999999999995</v>
      </c>
      <c r="G45" s="10">
        <v>21.498000000000001</v>
      </c>
      <c r="H45" s="10">
        <v>6.41</v>
      </c>
      <c r="I45" s="10">
        <v>9.8559999999999999</v>
      </c>
      <c r="J45" s="10">
        <v>56.368000000000002</v>
      </c>
      <c r="K45" s="10">
        <v>40.067</v>
      </c>
      <c r="L45" s="13">
        <v>5.9939999999999998</v>
      </c>
      <c r="M45" s="13">
        <v>0</v>
      </c>
      <c r="N45" s="13">
        <v>0.221</v>
      </c>
      <c r="O45" s="13">
        <v>0</v>
      </c>
      <c r="P45" s="13">
        <v>0.57199999999999995</v>
      </c>
      <c r="Q45" s="13">
        <v>4.9329999999999998</v>
      </c>
      <c r="R45" s="13">
        <v>0</v>
      </c>
      <c r="S45" s="13">
        <v>0</v>
      </c>
      <c r="T45" s="13">
        <v>1.9059999999999999</v>
      </c>
      <c r="U45" s="13">
        <v>0</v>
      </c>
      <c r="V45" s="13">
        <v>0.67500000000000004</v>
      </c>
      <c r="W45" s="13">
        <v>0</v>
      </c>
      <c r="X45" s="13">
        <v>0</v>
      </c>
      <c r="Y45" s="13">
        <v>3.1960000000000002</v>
      </c>
      <c r="Z45" s="13">
        <v>12.727</v>
      </c>
      <c r="AA45" s="13">
        <v>3.6219999999999999</v>
      </c>
      <c r="AB45" s="13">
        <v>0</v>
      </c>
      <c r="AC45" s="13">
        <v>0</v>
      </c>
      <c r="AD45" s="13">
        <v>28.038</v>
      </c>
      <c r="AE45" s="13">
        <v>0</v>
      </c>
      <c r="AF45" s="13">
        <v>11.234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11.16</v>
      </c>
      <c r="AN45" s="13">
        <v>20.344999999999999</v>
      </c>
      <c r="AO45" s="13">
        <v>0</v>
      </c>
      <c r="AP45" s="13">
        <v>0</v>
      </c>
      <c r="AQ45" s="10">
        <v>36.79</v>
      </c>
      <c r="AR45" s="10">
        <v>16.581</v>
      </c>
      <c r="AS45" s="10">
        <v>16.382999999999999</v>
      </c>
      <c r="AT45" s="10">
        <v>11.185</v>
      </c>
      <c r="AU45" s="10">
        <v>0</v>
      </c>
      <c r="AV45" s="10">
        <v>8.0039999999999996</v>
      </c>
      <c r="AW45" s="10">
        <v>0.47199999999999998</v>
      </c>
      <c r="AX45" s="10">
        <v>0</v>
      </c>
      <c r="AY45" s="10">
        <v>0</v>
      </c>
      <c r="AZ45" s="13">
        <v>0</v>
      </c>
      <c r="BA45" s="13">
        <v>0.56000000000000005</v>
      </c>
      <c r="BB45" s="13">
        <v>0</v>
      </c>
      <c r="BC45" s="13">
        <v>1.474</v>
      </c>
      <c r="BD45" s="13">
        <v>0.65300000000000002</v>
      </c>
      <c r="BE45" s="13">
        <v>0</v>
      </c>
      <c r="BF45" s="13">
        <v>0</v>
      </c>
      <c r="BG45" s="13">
        <v>6.867</v>
      </c>
      <c r="BH45" s="10">
        <v>0</v>
      </c>
      <c r="BI45" s="10">
        <v>0</v>
      </c>
      <c r="BJ45" s="10">
        <v>1.5640000000000001</v>
      </c>
      <c r="BK45" s="13">
        <v>0</v>
      </c>
      <c r="BL45" s="13">
        <v>0</v>
      </c>
      <c r="BM45" s="13">
        <v>19.402000000000001</v>
      </c>
      <c r="BN45" s="13">
        <v>6.44</v>
      </c>
      <c r="BO45" s="13">
        <v>6.0540000000000003</v>
      </c>
      <c r="BP45" s="13">
        <v>15.721</v>
      </c>
      <c r="BQ45" s="10">
        <v>1.7649999999999999</v>
      </c>
      <c r="BR45" s="10">
        <v>3.9009999999999998</v>
      </c>
      <c r="BS45" s="10">
        <v>3.069</v>
      </c>
      <c r="BT45" s="10">
        <v>1.474</v>
      </c>
      <c r="BU45" s="10">
        <v>1.121</v>
      </c>
      <c r="BV45" s="10">
        <v>1.716</v>
      </c>
      <c r="BW45" s="13">
        <v>0.16</v>
      </c>
      <c r="BX45" s="13">
        <v>0.43</v>
      </c>
      <c r="BY45" s="13">
        <v>0.20300000000000001</v>
      </c>
      <c r="BZ45" s="13">
        <v>31.010999999999999</v>
      </c>
      <c r="CA45" s="13">
        <v>6.6609999999999996</v>
      </c>
      <c r="CB45" s="13">
        <v>0</v>
      </c>
      <c r="CC45" s="13">
        <v>10.805999999999999</v>
      </c>
      <c r="CD45" s="13">
        <v>6.3810000000000002</v>
      </c>
      <c r="CE45" s="13">
        <v>1.1080000000000001</v>
      </c>
      <c r="CF45" s="13">
        <v>0</v>
      </c>
      <c r="CG45" s="13">
        <v>6.1680000000000001</v>
      </c>
      <c r="CH45" s="13">
        <v>2.9670000000000001</v>
      </c>
      <c r="CI45" s="13">
        <v>1.274</v>
      </c>
      <c r="CJ45" s="13">
        <v>28.12</v>
      </c>
      <c r="CK45" s="13">
        <v>3.3769999999999998</v>
      </c>
      <c r="CL45" s="13">
        <v>15.272</v>
      </c>
      <c r="CM45" s="13">
        <v>0</v>
      </c>
      <c r="CN45" s="13">
        <v>0</v>
      </c>
      <c r="CO45" s="13">
        <v>0</v>
      </c>
      <c r="CP45" s="13">
        <v>1.2290000000000001</v>
      </c>
      <c r="CQ45" s="13">
        <v>10.888999999999999</v>
      </c>
      <c r="CR45" s="10">
        <v>19.971</v>
      </c>
      <c r="CS45" s="10">
        <v>3.2250000000000001</v>
      </c>
      <c r="CT45" s="10">
        <v>0</v>
      </c>
      <c r="CU45" s="10">
        <v>4.3999999999999997E-2</v>
      </c>
      <c r="CV45" s="10">
        <v>0</v>
      </c>
      <c r="CW45" s="10">
        <v>10.396000000000001</v>
      </c>
      <c r="CX45" s="10">
        <v>0.90400000000000003</v>
      </c>
      <c r="CY45" s="10">
        <v>1.365</v>
      </c>
    </row>
    <row r="46" spans="1:103" x14ac:dyDescent="0.25">
      <c r="A46" s="5" t="s">
        <v>91</v>
      </c>
      <c r="B46" s="10">
        <v>16.966999999999999</v>
      </c>
      <c r="C46" s="10">
        <v>1.4179999999999999</v>
      </c>
      <c r="D46" s="10">
        <v>0.5</v>
      </c>
      <c r="E46" s="10">
        <v>11.756</v>
      </c>
      <c r="F46" s="10">
        <v>0</v>
      </c>
      <c r="G46" s="10">
        <v>10.749000000000001</v>
      </c>
      <c r="H46" s="10">
        <v>14.119</v>
      </c>
      <c r="I46" s="10">
        <v>0</v>
      </c>
      <c r="J46" s="10">
        <v>81.263999999999996</v>
      </c>
      <c r="K46" s="10">
        <v>23.913</v>
      </c>
      <c r="L46" s="13">
        <v>0</v>
      </c>
      <c r="M46" s="13">
        <v>0.63400000000000001</v>
      </c>
      <c r="N46" s="13">
        <v>0.441</v>
      </c>
      <c r="O46" s="13">
        <v>0</v>
      </c>
      <c r="P46" s="13">
        <v>1.7170000000000001</v>
      </c>
      <c r="Q46" s="13">
        <v>0</v>
      </c>
      <c r="R46" s="13">
        <v>0.85899999999999999</v>
      </c>
      <c r="S46" s="13">
        <v>3.133</v>
      </c>
      <c r="T46" s="13">
        <v>1.9059999999999999</v>
      </c>
      <c r="U46" s="13">
        <v>0</v>
      </c>
      <c r="V46" s="13">
        <v>0.88800000000000001</v>
      </c>
      <c r="W46" s="13">
        <v>0</v>
      </c>
      <c r="X46" s="13">
        <v>0.55200000000000005</v>
      </c>
      <c r="Y46" s="13">
        <v>0</v>
      </c>
      <c r="Z46" s="13">
        <v>12.727</v>
      </c>
      <c r="AA46" s="13">
        <v>3.782</v>
      </c>
      <c r="AB46" s="13">
        <v>0</v>
      </c>
      <c r="AC46" s="13">
        <v>0</v>
      </c>
      <c r="AD46" s="13">
        <v>21.863</v>
      </c>
      <c r="AE46" s="13">
        <v>2.81</v>
      </c>
      <c r="AF46" s="13">
        <v>1.0680000000000001</v>
      </c>
      <c r="AG46" s="13">
        <v>1.7569999999999999</v>
      </c>
      <c r="AH46" s="13">
        <v>2.9489999999999998</v>
      </c>
      <c r="AI46" s="13">
        <v>1.0289999999999999</v>
      </c>
      <c r="AJ46" s="13">
        <v>0</v>
      </c>
      <c r="AK46" s="13">
        <v>0</v>
      </c>
      <c r="AL46" s="13">
        <v>0.48599999999999999</v>
      </c>
      <c r="AM46" s="13">
        <v>11.449</v>
      </c>
      <c r="AN46" s="13">
        <v>0</v>
      </c>
      <c r="AO46" s="13">
        <v>8.0139999999999993</v>
      </c>
      <c r="AP46" s="13">
        <v>18.427</v>
      </c>
      <c r="AQ46" s="10">
        <v>1.7270000000000001</v>
      </c>
      <c r="AR46" s="10">
        <v>30.521999999999998</v>
      </c>
      <c r="AS46" s="10">
        <v>6.8410000000000002</v>
      </c>
      <c r="AT46" s="10">
        <v>11.185</v>
      </c>
      <c r="AU46" s="10">
        <v>0</v>
      </c>
      <c r="AV46" s="10">
        <v>0</v>
      </c>
      <c r="AW46" s="10">
        <v>0</v>
      </c>
      <c r="AX46" s="10">
        <v>1.8759999999999999</v>
      </c>
      <c r="AY46" s="10">
        <v>3.2679999999999998</v>
      </c>
      <c r="AZ46" s="13">
        <v>0.50800000000000001</v>
      </c>
      <c r="BA46" s="13">
        <v>0</v>
      </c>
      <c r="BB46" s="13">
        <v>0.46700000000000003</v>
      </c>
      <c r="BC46" s="13">
        <v>0</v>
      </c>
      <c r="BD46" s="13">
        <v>0</v>
      </c>
      <c r="BE46" s="13">
        <v>0</v>
      </c>
      <c r="BF46" s="13">
        <v>1.9319999999999999</v>
      </c>
      <c r="BG46" s="13">
        <v>0</v>
      </c>
      <c r="BH46" s="10">
        <v>5.2670000000000003</v>
      </c>
      <c r="BI46" s="10">
        <v>0</v>
      </c>
      <c r="BJ46" s="10">
        <v>2.6219999999999999</v>
      </c>
      <c r="BK46" s="13">
        <v>12.153</v>
      </c>
      <c r="BL46" s="13">
        <v>5.8</v>
      </c>
      <c r="BM46" s="13">
        <v>0</v>
      </c>
      <c r="BN46" s="13">
        <v>0</v>
      </c>
      <c r="BO46" s="13">
        <v>10.943</v>
      </c>
      <c r="BP46" s="13">
        <v>13.89</v>
      </c>
      <c r="BQ46" s="10">
        <v>0</v>
      </c>
      <c r="BR46" s="10">
        <v>5.0369999999999999</v>
      </c>
      <c r="BS46" s="10">
        <v>0</v>
      </c>
      <c r="BT46" s="10">
        <v>0.73699999999999999</v>
      </c>
      <c r="BU46" s="10">
        <v>2.984</v>
      </c>
      <c r="BV46" s="10">
        <v>3</v>
      </c>
      <c r="BW46" s="13">
        <v>0.47899999999999998</v>
      </c>
      <c r="BX46" s="13">
        <v>0.4</v>
      </c>
      <c r="BY46" s="13">
        <v>0</v>
      </c>
      <c r="BZ46" s="13">
        <v>7.7530000000000001</v>
      </c>
      <c r="CA46" s="13">
        <v>4.524</v>
      </c>
      <c r="CB46" s="13">
        <v>0</v>
      </c>
      <c r="CC46" s="13">
        <v>0</v>
      </c>
      <c r="CD46" s="13">
        <v>0.34799999999999998</v>
      </c>
      <c r="CE46" s="13">
        <v>23.609000000000002</v>
      </c>
      <c r="CF46" s="13">
        <v>7.444</v>
      </c>
      <c r="CG46" s="13">
        <v>1.8680000000000001</v>
      </c>
      <c r="CH46" s="13">
        <v>0.998</v>
      </c>
      <c r="CI46" s="13">
        <v>0</v>
      </c>
      <c r="CJ46" s="13">
        <v>14.06</v>
      </c>
      <c r="CK46" s="13">
        <v>6.7530000000000001</v>
      </c>
      <c r="CL46" s="13">
        <v>0.106</v>
      </c>
      <c r="CM46" s="13">
        <v>3.9140000000000001</v>
      </c>
      <c r="CN46" s="13">
        <v>0</v>
      </c>
      <c r="CO46" s="13">
        <v>0</v>
      </c>
      <c r="CP46" s="13">
        <v>0</v>
      </c>
      <c r="CQ46" s="13">
        <v>0.52900000000000003</v>
      </c>
      <c r="CR46" s="10">
        <v>0</v>
      </c>
      <c r="CS46" s="10">
        <v>2.2749999999999999</v>
      </c>
      <c r="CT46" s="10">
        <v>12.603999999999999</v>
      </c>
      <c r="CU46" s="10">
        <v>1.5669999999999999</v>
      </c>
      <c r="CV46" s="10">
        <v>0</v>
      </c>
      <c r="CW46" s="10">
        <v>10.396000000000001</v>
      </c>
      <c r="CX46" s="10">
        <v>0</v>
      </c>
      <c r="CY46" s="10">
        <v>0</v>
      </c>
    </row>
    <row r="47" spans="1:103" x14ac:dyDescent="0.25">
      <c r="A47" s="5" t="s">
        <v>90</v>
      </c>
      <c r="B47" s="10">
        <v>16.966999999999999</v>
      </c>
      <c r="C47" s="10">
        <v>3.8849999999999998</v>
      </c>
      <c r="D47" s="10">
        <v>0.5</v>
      </c>
      <c r="E47" s="10">
        <v>2.9390000000000001</v>
      </c>
      <c r="F47" s="10">
        <v>0</v>
      </c>
      <c r="G47" s="10">
        <v>28.881</v>
      </c>
      <c r="H47" s="10">
        <v>0.32500000000000001</v>
      </c>
      <c r="I47" s="10">
        <v>18.667000000000002</v>
      </c>
      <c r="J47" s="10">
        <v>0</v>
      </c>
      <c r="K47" s="10">
        <v>47.945</v>
      </c>
      <c r="L47" s="13">
        <v>0.63400000000000001</v>
      </c>
      <c r="M47" s="13">
        <v>2.5019999999999998</v>
      </c>
      <c r="N47" s="13">
        <v>0</v>
      </c>
      <c r="O47" s="13">
        <v>0</v>
      </c>
      <c r="P47" s="13">
        <v>1.145</v>
      </c>
      <c r="Q47" s="13">
        <v>4.9329999999999998</v>
      </c>
      <c r="R47" s="13">
        <v>1.5489999999999999</v>
      </c>
      <c r="S47" s="13">
        <v>1.5660000000000001</v>
      </c>
      <c r="T47" s="13">
        <v>1.9059999999999999</v>
      </c>
      <c r="U47" s="13">
        <v>1.534</v>
      </c>
      <c r="V47" s="13">
        <v>2.665</v>
      </c>
      <c r="W47" s="13">
        <v>0</v>
      </c>
      <c r="X47" s="13">
        <v>0.32400000000000001</v>
      </c>
      <c r="Y47" s="13">
        <v>2.8780000000000001</v>
      </c>
      <c r="Z47" s="13">
        <v>0</v>
      </c>
      <c r="AA47" s="13">
        <v>12.536</v>
      </c>
      <c r="AB47" s="13">
        <v>0</v>
      </c>
      <c r="AC47" s="13">
        <v>0</v>
      </c>
      <c r="AD47" s="13">
        <v>7.2080000000000002</v>
      </c>
      <c r="AE47" s="13">
        <v>0</v>
      </c>
      <c r="AF47" s="13">
        <v>4.5490000000000004</v>
      </c>
      <c r="AG47" s="13">
        <v>0</v>
      </c>
      <c r="AH47" s="13">
        <v>9.1690000000000005</v>
      </c>
      <c r="AI47" s="13">
        <v>3.0870000000000002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8.8849999999999998</v>
      </c>
      <c r="AP47" s="13">
        <v>17.187000000000001</v>
      </c>
      <c r="AQ47" s="10">
        <v>14.452999999999999</v>
      </c>
      <c r="AR47" s="10">
        <v>0</v>
      </c>
      <c r="AS47" s="10">
        <v>6.8410000000000002</v>
      </c>
      <c r="AT47" s="10">
        <v>11.185</v>
      </c>
      <c r="AU47" s="10">
        <v>1.9870000000000001</v>
      </c>
      <c r="AV47" s="10">
        <v>5.4790000000000001</v>
      </c>
      <c r="AW47" s="10">
        <v>7.9000000000000001E-2</v>
      </c>
      <c r="AX47" s="10">
        <v>3.7530000000000001</v>
      </c>
      <c r="AY47" s="10">
        <v>7.3959999999999999</v>
      </c>
      <c r="AZ47" s="13">
        <v>0</v>
      </c>
      <c r="BA47" s="13">
        <v>1.9950000000000001</v>
      </c>
      <c r="BB47" s="13">
        <v>8.5000000000000006E-2</v>
      </c>
      <c r="BC47" s="13">
        <v>0.33800000000000002</v>
      </c>
      <c r="BD47" s="13">
        <v>0</v>
      </c>
      <c r="BE47" s="13">
        <v>0</v>
      </c>
      <c r="BF47" s="13">
        <v>0</v>
      </c>
      <c r="BG47" s="13">
        <v>2.294</v>
      </c>
      <c r="BH47" s="10">
        <v>1.653</v>
      </c>
      <c r="BI47" s="10">
        <v>0</v>
      </c>
      <c r="BJ47" s="10">
        <v>4.51</v>
      </c>
      <c r="BK47" s="13">
        <v>0</v>
      </c>
      <c r="BL47" s="13">
        <v>5.8</v>
      </c>
      <c r="BM47" s="13">
        <v>30.337</v>
      </c>
      <c r="BN47" s="13">
        <v>18.611000000000001</v>
      </c>
      <c r="BO47" s="13">
        <v>6.944</v>
      </c>
      <c r="BP47" s="13">
        <v>1.3680000000000001</v>
      </c>
      <c r="BQ47" s="10">
        <v>1.0269999999999999</v>
      </c>
      <c r="BR47" s="10">
        <v>2.3530000000000002</v>
      </c>
      <c r="BS47" s="10">
        <v>1.1359999999999999</v>
      </c>
      <c r="BT47" s="10">
        <v>1.105</v>
      </c>
      <c r="BU47" s="10">
        <v>3.359</v>
      </c>
      <c r="BV47" s="10">
        <v>4.5</v>
      </c>
      <c r="BW47" s="13">
        <v>0.16</v>
      </c>
      <c r="BX47" s="13">
        <v>1.0229999999999999</v>
      </c>
      <c r="BY47" s="13">
        <v>15.28</v>
      </c>
      <c r="BZ47" s="13">
        <v>0</v>
      </c>
      <c r="CA47" s="13">
        <v>0</v>
      </c>
      <c r="CB47" s="13">
        <v>0</v>
      </c>
      <c r="CC47" s="13">
        <v>25.245999999999999</v>
      </c>
      <c r="CD47" s="13">
        <v>0</v>
      </c>
      <c r="CE47" s="13">
        <v>0</v>
      </c>
      <c r="CF47" s="13">
        <v>10.314</v>
      </c>
      <c r="CG47" s="13">
        <v>0</v>
      </c>
      <c r="CH47" s="13">
        <v>5.2869999999999999</v>
      </c>
      <c r="CI47" s="13">
        <v>0.80800000000000005</v>
      </c>
      <c r="CJ47" s="13">
        <v>22.129000000000001</v>
      </c>
      <c r="CK47" s="13">
        <v>6.7530000000000001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0">
        <v>0</v>
      </c>
      <c r="CS47" s="10">
        <v>6.8250000000000002</v>
      </c>
      <c r="CT47" s="10">
        <v>0</v>
      </c>
      <c r="CU47" s="10">
        <v>2.089</v>
      </c>
      <c r="CV47" s="10">
        <v>0</v>
      </c>
      <c r="CW47" s="10">
        <v>10.396000000000001</v>
      </c>
      <c r="CX47" s="10">
        <v>0</v>
      </c>
      <c r="CY47" s="10">
        <v>0</v>
      </c>
    </row>
    <row r="48" spans="1:103" x14ac:dyDescent="0.25">
      <c r="A48" s="5" t="s">
        <v>89</v>
      </c>
      <c r="B48" s="10">
        <v>23.077000000000002</v>
      </c>
      <c r="C48" s="10">
        <v>0</v>
      </c>
      <c r="D48" s="10">
        <v>1.0089999999999999</v>
      </c>
      <c r="E48" s="10">
        <v>8.8170000000000002</v>
      </c>
      <c r="F48" s="10">
        <v>0</v>
      </c>
      <c r="G48" s="10">
        <v>0</v>
      </c>
      <c r="H48" s="10">
        <v>10.523999999999999</v>
      </c>
      <c r="I48" s="10">
        <v>9.5609999999999999</v>
      </c>
      <c r="J48" s="10">
        <v>0</v>
      </c>
      <c r="K48" s="10">
        <v>12.297000000000001</v>
      </c>
      <c r="L48" s="13">
        <v>2.5019999999999998</v>
      </c>
      <c r="M48" s="13">
        <v>1.2509999999999999</v>
      </c>
      <c r="N48" s="13">
        <v>0.59499999999999997</v>
      </c>
      <c r="O48" s="13">
        <v>0</v>
      </c>
      <c r="P48" s="13">
        <v>0.69099999999999995</v>
      </c>
      <c r="Q48" s="13">
        <v>1.6439999999999999</v>
      </c>
      <c r="R48" s="13">
        <v>0</v>
      </c>
      <c r="S48" s="13">
        <v>0.89500000000000002</v>
      </c>
      <c r="T48" s="13">
        <v>0</v>
      </c>
      <c r="U48" s="13">
        <v>0.89500000000000002</v>
      </c>
      <c r="V48" s="13">
        <v>1.776</v>
      </c>
      <c r="W48" s="13">
        <v>0</v>
      </c>
      <c r="X48" s="13">
        <v>0.97199999999999998</v>
      </c>
      <c r="Y48" s="13">
        <v>0</v>
      </c>
      <c r="Z48" s="13">
        <v>6.3630000000000004</v>
      </c>
      <c r="AA48" s="13">
        <v>0.16700000000000001</v>
      </c>
      <c r="AB48" s="13">
        <v>0</v>
      </c>
      <c r="AC48" s="13">
        <v>0</v>
      </c>
      <c r="AD48" s="13">
        <v>22.460999999999999</v>
      </c>
      <c r="AE48" s="13">
        <v>0</v>
      </c>
      <c r="AF48" s="13">
        <v>0</v>
      </c>
      <c r="AG48" s="13">
        <v>0</v>
      </c>
      <c r="AH48" s="13">
        <v>4.5839999999999996</v>
      </c>
      <c r="AI48" s="13">
        <v>2.181</v>
      </c>
      <c r="AJ48" s="13">
        <v>0</v>
      </c>
      <c r="AK48" s="13">
        <v>0</v>
      </c>
      <c r="AL48" s="13">
        <v>0</v>
      </c>
      <c r="AM48" s="13">
        <v>2.2010000000000001</v>
      </c>
      <c r="AN48" s="13">
        <v>0</v>
      </c>
      <c r="AO48" s="13">
        <v>0</v>
      </c>
      <c r="AP48" s="13">
        <v>7.4279999999999999</v>
      </c>
      <c r="AQ48" s="10">
        <v>0</v>
      </c>
      <c r="AR48" s="10">
        <v>12.569000000000001</v>
      </c>
      <c r="AS48" s="10">
        <v>13.680999999999999</v>
      </c>
      <c r="AT48" s="10">
        <v>0</v>
      </c>
      <c r="AU48" s="10">
        <v>5.5140000000000002</v>
      </c>
      <c r="AV48" s="10">
        <v>2.7389999999999999</v>
      </c>
      <c r="AW48" s="10">
        <v>0.16800000000000001</v>
      </c>
      <c r="AX48" s="10">
        <v>0</v>
      </c>
      <c r="AY48" s="10">
        <v>14.792999999999999</v>
      </c>
      <c r="AZ48" s="13">
        <v>0.254</v>
      </c>
      <c r="BA48" s="13">
        <v>2.9929999999999999</v>
      </c>
      <c r="BB48" s="13">
        <v>2.2770000000000001</v>
      </c>
      <c r="BC48" s="13">
        <v>0</v>
      </c>
      <c r="BD48" s="13">
        <v>0</v>
      </c>
      <c r="BE48" s="13">
        <v>0</v>
      </c>
      <c r="BF48" s="13">
        <v>2.2200000000000002</v>
      </c>
      <c r="BG48" s="13">
        <v>3.2170000000000001</v>
      </c>
      <c r="BH48" s="10">
        <v>6.92</v>
      </c>
      <c r="BI48" s="10">
        <v>2.512</v>
      </c>
      <c r="BJ48" s="10">
        <v>0</v>
      </c>
      <c r="BK48" s="13">
        <v>0</v>
      </c>
      <c r="BL48" s="13">
        <v>0</v>
      </c>
      <c r="BM48" s="13">
        <v>14.587</v>
      </c>
      <c r="BN48" s="13">
        <v>0</v>
      </c>
      <c r="BO48" s="13">
        <v>0</v>
      </c>
      <c r="BP48" s="13">
        <v>54.249000000000002</v>
      </c>
      <c r="BQ48" s="10">
        <v>0.88300000000000001</v>
      </c>
      <c r="BR48" s="10">
        <v>1.177</v>
      </c>
      <c r="BS48" s="10">
        <v>1.1359999999999999</v>
      </c>
      <c r="BT48" s="10">
        <v>0</v>
      </c>
      <c r="BU48" s="10">
        <v>0</v>
      </c>
      <c r="BV48" s="10">
        <v>0</v>
      </c>
      <c r="BW48" s="13">
        <v>0.16</v>
      </c>
      <c r="BX48" s="13">
        <v>0.42</v>
      </c>
      <c r="BY48" s="13">
        <v>0</v>
      </c>
      <c r="BZ48" s="13">
        <v>6.3040000000000003</v>
      </c>
      <c r="CA48" s="13">
        <v>0</v>
      </c>
      <c r="CB48" s="13">
        <v>0</v>
      </c>
      <c r="CC48" s="13">
        <v>13.471</v>
      </c>
      <c r="CD48" s="13">
        <v>13.78</v>
      </c>
      <c r="CE48" s="13">
        <v>28.411000000000001</v>
      </c>
      <c r="CF48" s="13">
        <v>14.888999999999999</v>
      </c>
      <c r="CG48" s="13">
        <v>5.25</v>
      </c>
      <c r="CH48" s="13">
        <v>1.3220000000000001</v>
      </c>
      <c r="CI48" s="13">
        <v>0</v>
      </c>
      <c r="CJ48" s="13">
        <v>3.8650000000000002</v>
      </c>
      <c r="CK48" s="13">
        <v>6.1440000000000001</v>
      </c>
      <c r="CL48" s="13">
        <v>6.2320000000000002</v>
      </c>
      <c r="CM48" s="13">
        <v>0</v>
      </c>
      <c r="CN48" s="13">
        <v>0</v>
      </c>
      <c r="CO48" s="13">
        <v>0</v>
      </c>
      <c r="CP48" s="13">
        <v>4.3899999999999997</v>
      </c>
      <c r="CQ48" s="13">
        <v>0</v>
      </c>
      <c r="CR48" s="10">
        <v>24.021000000000001</v>
      </c>
      <c r="CS48" s="10">
        <v>0.95499999999999996</v>
      </c>
      <c r="CT48" s="10">
        <v>0</v>
      </c>
      <c r="CU48" s="10">
        <v>0</v>
      </c>
      <c r="CV48" s="10">
        <v>0</v>
      </c>
      <c r="CW48" s="10">
        <v>31.187999999999999</v>
      </c>
      <c r="CX48" s="10">
        <v>0</v>
      </c>
      <c r="CY48" s="10">
        <v>0.39100000000000001</v>
      </c>
    </row>
    <row r="49" spans="1:103" x14ac:dyDescent="0.25">
      <c r="A49" s="5" t="s">
        <v>88</v>
      </c>
      <c r="B49" s="10">
        <v>0</v>
      </c>
      <c r="C49" s="10">
        <v>7.26</v>
      </c>
      <c r="D49" s="10">
        <v>0</v>
      </c>
      <c r="E49" s="10">
        <v>10.904</v>
      </c>
      <c r="F49" s="10">
        <v>0</v>
      </c>
      <c r="G49" s="10">
        <v>14.941000000000001</v>
      </c>
      <c r="H49" s="10">
        <v>21.047999999999998</v>
      </c>
      <c r="I49" s="10">
        <v>6.41</v>
      </c>
      <c r="J49" s="10">
        <v>27.225000000000001</v>
      </c>
      <c r="K49" s="10">
        <v>0</v>
      </c>
      <c r="L49" s="13">
        <v>1.2509999999999999</v>
      </c>
      <c r="M49" s="13">
        <v>3.2589999999999999</v>
      </c>
      <c r="N49" s="13">
        <v>1.19</v>
      </c>
      <c r="O49" s="13">
        <v>0.57799999999999996</v>
      </c>
      <c r="P49" s="13">
        <v>0.57199999999999995</v>
      </c>
      <c r="Q49" s="13">
        <v>0</v>
      </c>
      <c r="R49" s="13">
        <v>0.85899999999999999</v>
      </c>
      <c r="S49" s="13">
        <v>1.79</v>
      </c>
      <c r="T49" s="13">
        <v>3.8130000000000002</v>
      </c>
      <c r="U49" s="13">
        <v>1.577</v>
      </c>
      <c r="V49" s="13">
        <v>3.0449999999999999</v>
      </c>
      <c r="W49" s="13">
        <v>0</v>
      </c>
      <c r="X49" s="13">
        <v>0.32400000000000001</v>
      </c>
      <c r="Y49" s="13">
        <v>0.57599999999999996</v>
      </c>
      <c r="Z49" s="13">
        <v>0</v>
      </c>
      <c r="AA49" s="13">
        <v>3.56</v>
      </c>
      <c r="AB49" s="13">
        <v>0</v>
      </c>
      <c r="AC49" s="13">
        <v>0</v>
      </c>
      <c r="AD49" s="13">
        <v>0</v>
      </c>
      <c r="AE49" s="13">
        <v>13.473000000000001</v>
      </c>
      <c r="AF49" s="13">
        <v>0</v>
      </c>
      <c r="AG49" s="13">
        <v>0.35099999999999998</v>
      </c>
      <c r="AH49" s="13">
        <v>10.249000000000001</v>
      </c>
      <c r="AI49" s="13">
        <v>2.3250000000000002</v>
      </c>
      <c r="AJ49" s="13">
        <v>5.3680000000000003</v>
      </c>
      <c r="AK49" s="13">
        <v>0</v>
      </c>
      <c r="AL49" s="13">
        <v>0.504</v>
      </c>
      <c r="AM49" s="13">
        <v>7.6050000000000004</v>
      </c>
      <c r="AN49" s="13">
        <v>0</v>
      </c>
      <c r="AO49" s="13">
        <v>16.259</v>
      </c>
      <c r="AP49" s="13">
        <v>14.856</v>
      </c>
      <c r="AQ49" s="10">
        <v>21.716999999999999</v>
      </c>
      <c r="AR49" s="10">
        <v>0.97699999999999998</v>
      </c>
      <c r="AS49" s="10">
        <v>3.42</v>
      </c>
      <c r="AT49" s="10">
        <v>4.6859999999999999</v>
      </c>
      <c r="AU49" s="10">
        <v>5.335</v>
      </c>
      <c r="AV49" s="10">
        <v>0</v>
      </c>
      <c r="AW49" s="10">
        <v>0.17799999999999999</v>
      </c>
      <c r="AX49" s="10">
        <v>1.8759999999999999</v>
      </c>
      <c r="AY49" s="10">
        <v>3.698</v>
      </c>
      <c r="AZ49" s="13">
        <v>1.66</v>
      </c>
      <c r="BA49" s="13">
        <v>0.998</v>
      </c>
      <c r="BB49" s="13">
        <v>3.722</v>
      </c>
      <c r="BC49" s="13">
        <v>0.33800000000000002</v>
      </c>
      <c r="BD49" s="13">
        <v>2.1629999999999998</v>
      </c>
      <c r="BE49" s="13">
        <v>0</v>
      </c>
      <c r="BF49" s="13">
        <v>0</v>
      </c>
      <c r="BG49" s="13">
        <v>3.1339999999999999</v>
      </c>
      <c r="BH49" s="10">
        <v>6.92</v>
      </c>
      <c r="BI49" s="10">
        <v>0.85099999999999998</v>
      </c>
      <c r="BJ49" s="10">
        <v>5.2009999999999996</v>
      </c>
      <c r="BK49" s="13">
        <v>0</v>
      </c>
      <c r="BL49" s="13">
        <v>4.5720000000000001</v>
      </c>
      <c r="BM49" s="13">
        <v>10.112</v>
      </c>
      <c r="BN49" s="13">
        <v>0</v>
      </c>
      <c r="BO49" s="13">
        <v>3.7549999999999999</v>
      </c>
      <c r="BP49" s="13">
        <v>14.93</v>
      </c>
      <c r="BQ49" s="10">
        <v>0.28899999999999998</v>
      </c>
      <c r="BR49" s="10">
        <v>2.3530000000000002</v>
      </c>
      <c r="BS49" s="10">
        <v>3.9009999999999998</v>
      </c>
      <c r="BT49" s="10">
        <v>0</v>
      </c>
      <c r="BU49" s="10">
        <v>3.73</v>
      </c>
      <c r="BV49" s="10">
        <v>6.78</v>
      </c>
      <c r="BW49" s="13">
        <v>0.16</v>
      </c>
      <c r="BX49" s="13">
        <v>0.34699999999999998</v>
      </c>
      <c r="BY49" s="13">
        <v>0</v>
      </c>
      <c r="BZ49" s="13">
        <v>14.082000000000001</v>
      </c>
      <c r="CA49" s="13">
        <v>0.71799999999999997</v>
      </c>
      <c r="CB49" s="13">
        <v>0</v>
      </c>
      <c r="CC49" s="13">
        <v>22.099</v>
      </c>
      <c r="CD49" s="13">
        <v>0.83599999999999997</v>
      </c>
      <c r="CE49" s="13">
        <v>18.806999999999999</v>
      </c>
      <c r="CF49" s="13">
        <v>15.832000000000001</v>
      </c>
      <c r="CG49" s="13">
        <v>5.25</v>
      </c>
      <c r="CH49" s="13">
        <v>0</v>
      </c>
      <c r="CI49" s="13">
        <v>2.234</v>
      </c>
      <c r="CJ49" s="13">
        <v>0</v>
      </c>
      <c r="CK49" s="13">
        <v>0</v>
      </c>
      <c r="CL49" s="13">
        <v>6.0780000000000003</v>
      </c>
      <c r="CM49" s="13">
        <v>0</v>
      </c>
      <c r="CN49" s="13">
        <v>0</v>
      </c>
      <c r="CO49" s="13">
        <v>4.149</v>
      </c>
      <c r="CP49" s="13">
        <v>2.0920000000000001</v>
      </c>
      <c r="CQ49" s="13">
        <v>0</v>
      </c>
      <c r="CR49" s="10">
        <v>17.451000000000001</v>
      </c>
      <c r="CS49" s="10">
        <v>1.4419999999999999</v>
      </c>
      <c r="CT49" s="10">
        <v>0</v>
      </c>
      <c r="CU49" s="10">
        <v>0</v>
      </c>
      <c r="CV49" s="10">
        <v>0</v>
      </c>
      <c r="CW49" s="10">
        <v>4.75</v>
      </c>
      <c r="CX49" s="10">
        <v>0</v>
      </c>
      <c r="CY49" s="10">
        <v>0</v>
      </c>
    </row>
    <row r="50" spans="1:103" x14ac:dyDescent="0.25">
      <c r="A50" s="5" t="s">
        <v>87</v>
      </c>
      <c r="B50" s="10">
        <v>15.573</v>
      </c>
      <c r="C50" s="10">
        <v>3.8849999999999998</v>
      </c>
      <c r="D50" s="10">
        <v>1.0089999999999999</v>
      </c>
      <c r="E50" s="10">
        <v>5.452</v>
      </c>
      <c r="F50" s="10">
        <v>0</v>
      </c>
      <c r="G50" s="10">
        <v>0</v>
      </c>
      <c r="H50" s="10">
        <v>18.597000000000001</v>
      </c>
      <c r="I50" s="10">
        <v>14.119</v>
      </c>
      <c r="J50" s="10">
        <v>15.096</v>
      </c>
      <c r="K50" s="10">
        <v>57.838000000000001</v>
      </c>
      <c r="L50" s="13">
        <v>3.2589999999999999</v>
      </c>
      <c r="M50" s="13">
        <v>4.0739999999999998</v>
      </c>
      <c r="N50" s="13">
        <v>0</v>
      </c>
      <c r="O50" s="13">
        <v>0</v>
      </c>
      <c r="P50" s="13">
        <v>4.6710000000000003</v>
      </c>
      <c r="Q50" s="13">
        <v>0.92900000000000005</v>
      </c>
      <c r="R50" s="13">
        <v>0</v>
      </c>
      <c r="S50" s="13">
        <v>0.94399999999999995</v>
      </c>
      <c r="T50" s="13">
        <v>1.6479999999999999</v>
      </c>
      <c r="U50" s="13">
        <v>3.1539999999999999</v>
      </c>
      <c r="V50" s="13">
        <v>1.776</v>
      </c>
      <c r="W50" s="13">
        <v>0</v>
      </c>
      <c r="X50" s="13">
        <v>0.32400000000000001</v>
      </c>
      <c r="Y50" s="13">
        <v>0.57599999999999996</v>
      </c>
      <c r="Z50" s="13">
        <v>0</v>
      </c>
      <c r="AA50" s="13">
        <v>14.897</v>
      </c>
      <c r="AB50" s="13">
        <v>0</v>
      </c>
      <c r="AC50" s="13">
        <v>0</v>
      </c>
      <c r="AD50" s="13">
        <v>16.28</v>
      </c>
      <c r="AE50" s="13">
        <v>13.11</v>
      </c>
      <c r="AF50" s="13">
        <v>0</v>
      </c>
      <c r="AG50" s="13">
        <v>0</v>
      </c>
      <c r="AH50" s="13">
        <v>2.1619999999999999</v>
      </c>
      <c r="AI50" s="13">
        <v>3.605</v>
      </c>
      <c r="AJ50" s="13">
        <v>0</v>
      </c>
      <c r="AK50" s="13">
        <v>5.3680000000000003</v>
      </c>
      <c r="AL50" s="13">
        <v>4.0030000000000001</v>
      </c>
      <c r="AM50" s="13">
        <v>0</v>
      </c>
      <c r="AN50" s="13">
        <v>0</v>
      </c>
      <c r="AO50" s="13">
        <v>9.0139999999999993</v>
      </c>
      <c r="AP50" s="13">
        <v>20.613</v>
      </c>
      <c r="AQ50" s="10">
        <v>6.0810000000000004</v>
      </c>
      <c r="AR50" s="10">
        <v>1.8340000000000001</v>
      </c>
      <c r="AS50" s="10">
        <v>6.8410000000000002</v>
      </c>
      <c r="AT50" s="10">
        <v>7.0289999999999999</v>
      </c>
      <c r="AU50" s="10">
        <v>0</v>
      </c>
      <c r="AV50" s="10">
        <v>2.7389999999999999</v>
      </c>
      <c r="AW50" s="10">
        <v>0.184</v>
      </c>
      <c r="AX50" s="10">
        <v>0</v>
      </c>
      <c r="AY50" s="10">
        <v>7.3959999999999999</v>
      </c>
      <c r="AZ50" s="13">
        <v>0</v>
      </c>
      <c r="BA50" s="13">
        <v>1.9950000000000001</v>
      </c>
      <c r="BB50" s="13">
        <v>1.4450000000000001</v>
      </c>
      <c r="BC50" s="13">
        <v>0.33800000000000002</v>
      </c>
      <c r="BD50" s="13">
        <v>1.081</v>
      </c>
      <c r="BE50" s="13">
        <v>0</v>
      </c>
      <c r="BF50" s="13">
        <v>2.3239999999999998</v>
      </c>
      <c r="BG50" s="13">
        <v>0</v>
      </c>
      <c r="BH50" s="10">
        <v>4.0229999999999997</v>
      </c>
      <c r="BI50" s="10">
        <v>0</v>
      </c>
      <c r="BJ50" s="10">
        <v>0</v>
      </c>
      <c r="BK50" s="13">
        <v>3.5329999999999999</v>
      </c>
      <c r="BL50" s="13">
        <v>0</v>
      </c>
      <c r="BM50" s="13">
        <v>15.263</v>
      </c>
      <c r="BN50" s="13">
        <v>8.2370000000000001</v>
      </c>
      <c r="BO50" s="13">
        <v>0</v>
      </c>
      <c r="BP50" s="13">
        <v>13.561999999999999</v>
      </c>
      <c r="BQ50" s="10">
        <v>1.1539999999999999</v>
      </c>
      <c r="BR50" s="10">
        <v>0.63400000000000001</v>
      </c>
      <c r="BS50" s="10">
        <v>5.0369999999999999</v>
      </c>
      <c r="BT50" s="10">
        <v>2.0270000000000001</v>
      </c>
      <c r="BU50" s="10">
        <v>0</v>
      </c>
      <c r="BV50" s="10">
        <v>3</v>
      </c>
      <c r="BW50" s="13">
        <v>0.66700000000000004</v>
      </c>
      <c r="BX50" s="13">
        <v>0.26200000000000001</v>
      </c>
      <c r="BY50" s="13">
        <v>0</v>
      </c>
      <c r="BZ50" s="13">
        <v>14.082000000000001</v>
      </c>
      <c r="CA50" s="13">
        <v>10.039</v>
      </c>
      <c r="CB50" s="13">
        <v>0</v>
      </c>
      <c r="CC50" s="13">
        <v>11.986000000000001</v>
      </c>
      <c r="CD50" s="13">
        <v>0.40500000000000003</v>
      </c>
      <c r="CE50" s="13">
        <v>11.974</v>
      </c>
      <c r="CF50" s="13">
        <v>6.82</v>
      </c>
      <c r="CG50" s="13">
        <v>0.71299999999999997</v>
      </c>
      <c r="CH50" s="13">
        <v>0.82199999999999995</v>
      </c>
      <c r="CI50" s="13">
        <v>1.6639999999999999</v>
      </c>
      <c r="CJ50" s="13">
        <v>0</v>
      </c>
      <c r="CK50" s="13">
        <v>9.3160000000000007</v>
      </c>
      <c r="CL50" s="13">
        <v>0</v>
      </c>
      <c r="CM50" s="13">
        <v>4.7830000000000004</v>
      </c>
      <c r="CN50" s="13">
        <v>0</v>
      </c>
      <c r="CO50" s="13">
        <v>0</v>
      </c>
      <c r="CP50" s="13">
        <v>0</v>
      </c>
      <c r="CQ50" s="13">
        <v>10.516999999999999</v>
      </c>
      <c r="CR50" s="10">
        <v>0</v>
      </c>
      <c r="CS50" s="10">
        <v>3.996</v>
      </c>
      <c r="CT50" s="10">
        <v>0</v>
      </c>
      <c r="CU50" s="10">
        <v>0</v>
      </c>
      <c r="CV50" s="10">
        <v>0</v>
      </c>
      <c r="CW50" s="10">
        <v>5.6520000000000001</v>
      </c>
      <c r="CX50" s="10">
        <v>0.89900000000000002</v>
      </c>
      <c r="CY50" s="10">
        <v>0.78300000000000003</v>
      </c>
    </row>
    <row r="51" spans="1:103" x14ac:dyDescent="0.25">
      <c r="A51" s="5" t="s">
        <v>86</v>
      </c>
      <c r="B51" s="10">
        <v>43.881</v>
      </c>
      <c r="C51" s="10">
        <v>3.8849999999999998</v>
      </c>
      <c r="D51" s="10">
        <v>0.33600000000000002</v>
      </c>
      <c r="E51" s="10">
        <v>8.1780000000000008</v>
      </c>
      <c r="F51" s="10">
        <v>0</v>
      </c>
      <c r="G51" s="10">
        <v>29.375</v>
      </c>
      <c r="H51" s="10">
        <v>0.32500000000000001</v>
      </c>
      <c r="I51" s="10">
        <v>0.32500000000000001</v>
      </c>
      <c r="J51" s="10">
        <v>3.9079999999999999</v>
      </c>
      <c r="K51" s="10">
        <v>0</v>
      </c>
      <c r="L51" s="13">
        <v>4.0739999999999998</v>
      </c>
      <c r="M51" s="13">
        <v>3.2589999999999999</v>
      </c>
      <c r="N51" s="13">
        <v>0</v>
      </c>
      <c r="O51" s="13">
        <v>0.27</v>
      </c>
      <c r="P51" s="13">
        <v>0.45900000000000002</v>
      </c>
      <c r="Q51" s="13">
        <v>0</v>
      </c>
      <c r="R51" s="13">
        <v>0</v>
      </c>
      <c r="S51" s="13">
        <v>2.8330000000000002</v>
      </c>
      <c r="T51" s="13">
        <v>2.472</v>
      </c>
      <c r="U51" s="13">
        <v>3.1539999999999999</v>
      </c>
      <c r="V51" s="13">
        <v>1.393</v>
      </c>
      <c r="W51" s="13">
        <v>0.36499999999999999</v>
      </c>
      <c r="X51" s="13">
        <v>0.32400000000000001</v>
      </c>
      <c r="Y51" s="13">
        <v>0</v>
      </c>
      <c r="Z51" s="13">
        <v>10.243</v>
      </c>
      <c r="AA51" s="13">
        <v>5.2729999999999997</v>
      </c>
      <c r="AB51" s="13">
        <v>0</v>
      </c>
      <c r="AC51" s="13">
        <v>4.9939999999999998</v>
      </c>
      <c r="AD51" s="13">
        <v>51.088999999999999</v>
      </c>
      <c r="AE51" s="13">
        <v>13.473000000000001</v>
      </c>
      <c r="AF51" s="13">
        <v>0</v>
      </c>
      <c r="AG51" s="13">
        <v>0.47199999999999998</v>
      </c>
      <c r="AH51" s="13">
        <v>9.1690000000000005</v>
      </c>
      <c r="AI51" s="13">
        <v>7.2089999999999996</v>
      </c>
      <c r="AJ51" s="13">
        <v>6.4349999999999996</v>
      </c>
      <c r="AK51" s="13">
        <v>0</v>
      </c>
      <c r="AL51" s="13">
        <v>4.8230000000000004</v>
      </c>
      <c r="AM51" s="13">
        <v>0</v>
      </c>
      <c r="AN51" s="13">
        <v>0</v>
      </c>
      <c r="AO51" s="13">
        <v>0</v>
      </c>
      <c r="AP51" s="13">
        <v>13.742000000000001</v>
      </c>
      <c r="AQ51" s="10">
        <v>12.032999999999999</v>
      </c>
      <c r="AR51" s="10">
        <v>26.297999999999998</v>
      </c>
      <c r="AS51" s="10">
        <v>8.51</v>
      </c>
      <c r="AT51" s="10">
        <v>2.343</v>
      </c>
      <c r="AU51" s="10">
        <v>3.0489999999999999</v>
      </c>
      <c r="AV51" s="10">
        <v>0</v>
      </c>
      <c r="AW51" s="10">
        <v>0</v>
      </c>
      <c r="AX51" s="10">
        <v>3.306</v>
      </c>
      <c r="AY51" s="10">
        <v>7.3959999999999999</v>
      </c>
      <c r="AZ51" s="13">
        <v>0.999</v>
      </c>
      <c r="BA51" s="13">
        <v>1.9950000000000001</v>
      </c>
      <c r="BB51" s="13">
        <v>3.0569999999999999</v>
      </c>
      <c r="BC51" s="13">
        <v>0</v>
      </c>
      <c r="BD51" s="13">
        <v>2.0840000000000001</v>
      </c>
      <c r="BE51" s="13">
        <v>2.4540000000000002</v>
      </c>
      <c r="BF51" s="13">
        <v>1.74</v>
      </c>
      <c r="BG51" s="13">
        <v>0.69099999999999995</v>
      </c>
      <c r="BH51" s="10">
        <v>4.0229999999999997</v>
      </c>
      <c r="BI51" s="10">
        <v>0</v>
      </c>
      <c r="BJ51" s="10">
        <v>0</v>
      </c>
      <c r="BK51" s="13">
        <v>0</v>
      </c>
      <c r="BL51" s="13">
        <v>1.171</v>
      </c>
      <c r="BM51" s="13">
        <v>8.8480000000000008</v>
      </c>
      <c r="BN51" s="13">
        <v>0</v>
      </c>
      <c r="BO51" s="13">
        <v>0</v>
      </c>
      <c r="BP51" s="13">
        <v>13.561999999999999</v>
      </c>
      <c r="BQ51" s="10">
        <v>1.2629999999999999</v>
      </c>
      <c r="BR51" s="10">
        <v>4.0730000000000004</v>
      </c>
      <c r="BS51" s="10">
        <v>2.3530000000000002</v>
      </c>
      <c r="BT51" s="10">
        <v>0</v>
      </c>
      <c r="BU51" s="10">
        <v>0</v>
      </c>
      <c r="BV51" s="10">
        <v>0</v>
      </c>
      <c r="BW51" s="13">
        <v>0.16</v>
      </c>
      <c r="BX51" s="13">
        <v>0.40500000000000003</v>
      </c>
      <c r="BY51" s="13">
        <v>0</v>
      </c>
      <c r="BZ51" s="13">
        <v>4.694</v>
      </c>
      <c r="CA51" s="13">
        <v>0</v>
      </c>
      <c r="CB51" s="13">
        <v>0</v>
      </c>
      <c r="CC51" s="13">
        <v>0</v>
      </c>
      <c r="CD51" s="13">
        <v>16.277999999999999</v>
      </c>
      <c r="CE51" s="13">
        <v>13.079000000000001</v>
      </c>
      <c r="CF51" s="13">
        <v>0</v>
      </c>
      <c r="CG51" s="13">
        <v>1.75</v>
      </c>
      <c r="CH51" s="13">
        <v>2.4649999999999999</v>
      </c>
      <c r="CI51" s="13">
        <v>4.4240000000000004</v>
      </c>
      <c r="CJ51" s="13">
        <v>41.457999999999998</v>
      </c>
      <c r="CK51" s="13">
        <v>0</v>
      </c>
      <c r="CL51" s="13">
        <v>1.137</v>
      </c>
      <c r="CM51" s="13">
        <v>3.4950000000000001</v>
      </c>
      <c r="CN51" s="13">
        <v>0</v>
      </c>
      <c r="CO51" s="13">
        <v>0</v>
      </c>
      <c r="CP51" s="13">
        <v>2.5910000000000002</v>
      </c>
      <c r="CQ51" s="13">
        <v>10.516999999999999</v>
      </c>
      <c r="CR51" s="10">
        <v>0.87</v>
      </c>
      <c r="CS51" s="10">
        <v>0</v>
      </c>
      <c r="CT51" s="10">
        <v>0</v>
      </c>
      <c r="CU51" s="10">
        <v>0</v>
      </c>
      <c r="CV51" s="10">
        <v>9.8450000000000006</v>
      </c>
      <c r="CW51" s="10">
        <v>23.748000000000001</v>
      </c>
      <c r="CX51" s="10">
        <v>0.89900000000000002</v>
      </c>
      <c r="CY51" s="10">
        <v>0.39100000000000001</v>
      </c>
    </row>
    <row r="52" spans="1:103" x14ac:dyDescent="0.25">
      <c r="A52" s="5" t="s">
        <v>85</v>
      </c>
      <c r="B52" s="10">
        <v>14.73</v>
      </c>
      <c r="C52" s="10">
        <v>2.2519999999999998</v>
      </c>
      <c r="D52" s="10">
        <v>1.3460000000000001</v>
      </c>
      <c r="E52" s="10">
        <v>0</v>
      </c>
      <c r="F52" s="10">
        <v>0</v>
      </c>
      <c r="G52" s="10">
        <v>3.3370000000000002</v>
      </c>
      <c r="H52" s="10">
        <v>14.601000000000001</v>
      </c>
      <c r="I52" s="10">
        <v>10.523999999999999</v>
      </c>
      <c r="J52" s="10">
        <v>15.096</v>
      </c>
      <c r="K52" s="10">
        <v>0</v>
      </c>
      <c r="L52" s="13">
        <v>3.2589999999999999</v>
      </c>
      <c r="M52" s="13">
        <v>0.16400000000000001</v>
      </c>
      <c r="N52" s="13">
        <v>1.129</v>
      </c>
      <c r="O52" s="13">
        <v>0</v>
      </c>
      <c r="P52" s="13">
        <v>3.5030000000000001</v>
      </c>
      <c r="Q52" s="13">
        <v>0.46400000000000002</v>
      </c>
      <c r="R52" s="13">
        <v>0.70899999999999996</v>
      </c>
      <c r="S52" s="13">
        <v>0</v>
      </c>
      <c r="T52" s="13">
        <v>0.20399999999999999</v>
      </c>
      <c r="U52" s="13">
        <v>3.1539999999999999</v>
      </c>
      <c r="V52" s="13">
        <v>1.393</v>
      </c>
      <c r="W52" s="13">
        <v>0</v>
      </c>
      <c r="X52" s="13">
        <v>0.63200000000000001</v>
      </c>
      <c r="Y52" s="13">
        <v>0</v>
      </c>
      <c r="Z52" s="13">
        <v>5.1219999999999999</v>
      </c>
      <c r="AA52" s="13">
        <v>0</v>
      </c>
      <c r="AB52" s="13">
        <v>0</v>
      </c>
      <c r="AC52" s="13">
        <v>0</v>
      </c>
      <c r="AD52" s="13">
        <v>22.568999999999999</v>
      </c>
      <c r="AE52" s="13">
        <v>0</v>
      </c>
      <c r="AF52" s="13">
        <v>0</v>
      </c>
      <c r="AG52" s="13">
        <v>0.47199999999999998</v>
      </c>
      <c r="AH52" s="13">
        <v>8.07</v>
      </c>
      <c r="AI52" s="13">
        <v>3.605</v>
      </c>
      <c r="AJ52" s="13">
        <v>0</v>
      </c>
      <c r="AK52" s="13">
        <v>6.4349999999999996</v>
      </c>
      <c r="AL52" s="13">
        <v>2.931</v>
      </c>
      <c r="AM52" s="13">
        <v>1.748</v>
      </c>
      <c r="AN52" s="13">
        <v>16.204000000000001</v>
      </c>
      <c r="AO52" s="13">
        <v>17.161999999999999</v>
      </c>
      <c r="AP52" s="13">
        <v>0</v>
      </c>
      <c r="AQ52" s="10">
        <v>12.077</v>
      </c>
      <c r="AR52" s="10">
        <v>2.6320000000000001</v>
      </c>
      <c r="AS52" s="10">
        <v>8.51</v>
      </c>
      <c r="AT52" s="10">
        <v>0</v>
      </c>
      <c r="AU52" s="10">
        <v>1.423</v>
      </c>
      <c r="AV52" s="10">
        <v>4.3079999999999998</v>
      </c>
      <c r="AW52" s="10">
        <v>0</v>
      </c>
      <c r="AX52" s="10">
        <v>1.653</v>
      </c>
      <c r="AY52" s="10">
        <v>10.114000000000001</v>
      </c>
      <c r="AZ52" s="13">
        <v>0</v>
      </c>
      <c r="BA52" s="13">
        <v>1.08</v>
      </c>
      <c r="BB52" s="13">
        <v>2.891</v>
      </c>
      <c r="BC52" s="13">
        <v>0</v>
      </c>
      <c r="BD52" s="13">
        <v>0</v>
      </c>
      <c r="BE52" s="13">
        <v>9.8160000000000007</v>
      </c>
      <c r="BF52" s="13">
        <v>1.74</v>
      </c>
      <c r="BG52" s="13">
        <v>1.66</v>
      </c>
      <c r="BH52" s="10">
        <v>3.6890000000000001</v>
      </c>
      <c r="BI52" s="10">
        <v>0</v>
      </c>
      <c r="BJ52" s="10">
        <v>0</v>
      </c>
      <c r="BK52" s="13">
        <v>6.0460000000000003</v>
      </c>
      <c r="BL52" s="13">
        <v>11.282999999999999</v>
      </c>
      <c r="BM52" s="13">
        <v>0</v>
      </c>
      <c r="BN52" s="13">
        <v>12.013999999999999</v>
      </c>
      <c r="BO52" s="13">
        <v>10.09</v>
      </c>
      <c r="BP52" s="13">
        <v>17.518999999999998</v>
      </c>
      <c r="BQ52" s="10">
        <v>0.51400000000000001</v>
      </c>
      <c r="BR52" s="10">
        <v>0</v>
      </c>
      <c r="BS52" s="10">
        <v>1.177</v>
      </c>
      <c r="BT52" s="10">
        <v>1.0129999999999999</v>
      </c>
      <c r="BU52" s="10">
        <v>0</v>
      </c>
      <c r="BV52" s="10">
        <v>7.33</v>
      </c>
      <c r="BW52" s="13">
        <v>0.189</v>
      </c>
      <c r="BX52" s="13">
        <v>0.61599999999999999</v>
      </c>
      <c r="BY52" s="13">
        <v>3.3439999999999999</v>
      </c>
      <c r="BZ52" s="13">
        <v>8.6300000000000008</v>
      </c>
      <c r="CA52" s="13">
        <v>0</v>
      </c>
      <c r="CB52" s="13">
        <v>28.238</v>
      </c>
      <c r="CC52" s="13">
        <v>9.1270000000000007</v>
      </c>
      <c r="CD52" s="13">
        <v>1.528</v>
      </c>
      <c r="CE52" s="13">
        <v>13.192</v>
      </c>
      <c r="CF52" s="13">
        <v>0</v>
      </c>
      <c r="CG52" s="13">
        <v>4.7880000000000003</v>
      </c>
      <c r="CH52" s="13">
        <v>2.4649999999999999</v>
      </c>
      <c r="CI52" s="13">
        <v>0.36799999999999999</v>
      </c>
      <c r="CJ52" s="13">
        <v>15.106999999999999</v>
      </c>
      <c r="CK52" s="13">
        <v>0</v>
      </c>
      <c r="CL52" s="13">
        <v>1.9710000000000001</v>
      </c>
      <c r="CM52" s="13">
        <v>2.8530000000000002</v>
      </c>
      <c r="CN52" s="13">
        <v>4.1509999999999998</v>
      </c>
      <c r="CO52" s="13">
        <v>4.149</v>
      </c>
      <c r="CP52" s="13">
        <v>2.4140000000000001</v>
      </c>
      <c r="CQ52" s="13">
        <v>12.997999999999999</v>
      </c>
      <c r="CR52" s="10">
        <v>0</v>
      </c>
      <c r="CS52" s="10">
        <v>2.7970000000000002</v>
      </c>
      <c r="CT52" s="10">
        <v>0</v>
      </c>
      <c r="CU52" s="10">
        <v>0</v>
      </c>
      <c r="CV52" s="10">
        <v>15.351000000000001</v>
      </c>
      <c r="CW52" s="10">
        <v>0</v>
      </c>
      <c r="CX52" s="10">
        <v>1.798</v>
      </c>
      <c r="CY52" s="10">
        <v>0</v>
      </c>
    </row>
    <row r="53" spans="1:103" x14ac:dyDescent="0.25">
      <c r="A53" s="5" t="s">
        <v>84</v>
      </c>
      <c r="B53" s="10">
        <v>0</v>
      </c>
      <c r="C53" s="10">
        <v>0</v>
      </c>
      <c r="D53" s="10">
        <v>0.81699999999999995</v>
      </c>
      <c r="E53" s="10">
        <v>8.1780000000000008</v>
      </c>
      <c r="F53" s="10">
        <v>0</v>
      </c>
      <c r="G53" s="10">
        <v>0</v>
      </c>
      <c r="H53" s="10">
        <v>0</v>
      </c>
      <c r="I53" s="10">
        <v>21.047999999999998</v>
      </c>
      <c r="J53" s="10">
        <v>30.192</v>
      </c>
      <c r="K53" s="10">
        <v>19.606999999999999</v>
      </c>
      <c r="L53" s="13">
        <v>0.16400000000000001</v>
      </c>
      <c r="M53" s="13">
        <v>2.81</v>
      </c>
      <c r="N53" s="13">
        <v>0.161</v>
      </c>
      <c r="O53" s="13">
        <v>0.13500000000000001</v>
      </c>
      <c r="P53" s="13">
        <v>2.3359999999999999</v>
      </c>
      <c r="Q53" s="13">
        <v>0.46400000000000002</v>
      </c>
      <c r="R53" s="13">
        <v>0</v>
      </c>
      <c r="S53" s="13">
        <v>2.1589999999999998</v>
      </c>
      <c r="T53" s="13">
        <v>1.6479999999999999</v>
      </c>
      <c r="U53" s="13">
        <v>0</v>
      </c>
      <c r="V53" s="13">
        <v>1.393</v>
      </c>
      <c r="W53" s="13">
        <v>0</v>
      </c>
      <c r="X53" s="13">
        <v>0</v>
      </c>
      <c r="Y53" s="13">
        <v>0</v>
      </c>
      <c r="Z53" s="13">
        <v>0</v>
      </c>
      <c r="AA53" s="13">
        <v>7.0069999999999997</v>
      </c>
      <c r="AB53" s="13">
        <v>0.42799999999999999</v>
      </c>
      <c r="AC53" s="13">
        <v>0</v>
      </c>
      <c r="AD53" s="13">
        <v>0</v>
      </c>
      <c r="AE53" s="13">
        <v>1.05</v>
      </c>
      <c r="AF53" s="13">
        <v>19.672000000000001</v>
      </c>
      <c r="AG53" s="13">
        <v>0</v>
      </c>
      <c r="AH53" s="13">
        <v>4.58</v>
      </c>
      <c r="AI53" s="13">
        <v>7.2089999999999996</v>
      </c>
      <c r="AJ53" s="13">
        <v>0.29299999999999998</v>
      </c>
      <c r="AK53" s="13">
        <v>0</v>
      </c>
      <c r="AL53" s="13">
        <v>3.9</v>
      </c>
      <c r="AM53" s="13">
        <v>8.8919999999999995</v>
      </c>
      <c r="AN53" s="13">
        <v>14.287000000000001</v>
      </c>
      <c r="AO53" s="13">
        <v>23.620999999999999</v>
      </c>
      <c r="AP53" s="13">
        <v>6.8710000000000004</v>
      </c>
      <c r="AQ53" s="10">
        <v>6.2249999999999996</v>
      </c>
      <c r="AR53" s="10">
        <v>29.059000000000001</v>
      </c>
      <c r="AS53" s="10">
        <v>8.51</v>
      </c>
      <c r="AT53" s="10">
        <v>8.1479999999999997</v>
      </c>
      <c r="AU53" s="10">
        <v>2.0680000000000001</v>
      </c>
      <c r="AV53" s="10">
        <v>0</v>
      </c>
      <c r="AW53" s="10">
        <v>0.13500000000000001</v>
      </c>
      <c r="AX53" s="10">
        <v>0</v>
      </c>
      <c r="AY53" s="10">
        <v>2.2189999999999999</v>
      </c>
      <c r="AZ53" s="13">
        <v>0.5</v>
      </c>
      <c r="BA53" s="13">
        <v>0</v>
      </c>
      <c r="BB53" s="13">
        <v>0.9</v>
      </c>
      <c r="BC53" s="13">
        <v>0</v>
      </c>
      <c r="BD53" s="13">
        <v>1.042</v>
      </c>
      <c r="BE53" s="13">
        <v>0</v>
      </c>
      <c r="BF53" s="13">
        <v>6.9610000000000003</v>
      </c>
      <c r="BG53" s="13">
        <v>2.2149999999999999</v>
      </c>
      <c r="BH53" s="10">
        <v>0</v>
      </c>
      <c r="BI53" s="10">
        <v>5.0860000000000003</v>
      </c>
      <c r="BJ53" s="10">
        <v>0</v>
      </c>
      <c r="BK53" s="13">
        <v>6.5279999999999996</v>
      </c>
      <c r="BL53" s="13">
        <v>18.893000000000001</v>
      </c>
      <c r="BM53" s="13">
        <v>2.7509999999999999</v>
      </c>
      <c r="BN53" s="13">
        <v>10.615</v>
      </c>
      <c r="BO53" s="13">
        <v>0</v>
      </c>
      <c r="BP53" s="13">
        <v>0</v>
      </c>
      <c r="BQ53" s="10">
        <v>1.1539999999999999</v>
      </c>
      <c r="BR53" s="10">
        <v>0</v>
      </c>
      <c r="BS53" s="10">
        <v>2.3530000000000002</v>
      </c>
      <c r="BT53" s="10">
        <v>0</v>
      </c>
      <c r="BU53" s="10">
        <v>0.47199999999999998</v>
      </c>
      <c r="BV53" s="10">
        <v>6.2960000000000003</v>
      </c>
      <c r="BW53" s="13">
        <v>0.189</v>
      </c>
      <c r="BX53" s="13">
        <v>0</v>
      </c>
      <c r="BY53" s="13">
        <v>0</v>
      </c>
      <c r="BZ53" s="13">
        <v>15.077</v>
      </c>
      <c r="CA53" s="13">
        <v>0</v>
      </c>
      <c r="CB53" s="13">
        <v>0</v>
      </c>
      <c r="CC53" s="13">
        <v>20.234000000000002</v>
      </c>
      <c r="CD53" s="13">
        <v>0</v>
      </c>
      <c r="CE53" s="13">
        <v>0.50700000000000001</v>
      </c>
      <c r="CF53" s="13">
        <v>0</v>
      </c>
      <c r="CG53" s="13">
        <v>3.1779999999999999</v>
      </c>
      <c r="CH53" s="13">
        <v>0.82199999999999995</v>
      </c>
      <c r="CI53" s="13">
        <v>0</v>
      </c>
      <c r="CJ53" s="13">
        <v>30.215</v>
      </c>
      <c r="CK53" s="13">
        <v>3.984</v>
      </c>
      <c r="CL53" s="13">
        <v>2.9209999999999998</v>
      </c>
      <c r="CM53" s="13">
        <v>1.427</v>
      </c>
      <c r="CN53" s="13">
        <v>0</v>
      </c>
      <c r="CO53" s="13">
        <v>0</v>
      </c>
      <c r="CP53" s="13">
        <v>6.1710000000000003</v>
      </c>
      <c r="CQ53" s="13">
        <v>26.547999999999998</v>
      </c>
      <c r="CR53" s="10">
        <v>0</v>
      </c>
      <c r="CS53" s="10">
        <v>0.56100000000000005</v>
      </c>
      <c r="CT53" s="10">
        <v>0.53400000000000003</v>
      </c>
      <c r="CU53" s="10">
        <v>0.152</v>
      </c>
      <c r="CV53" s="10">
        <v>29.91</v>
      </c>
      <c r="CW53" s="10">
        <v>15.151</v>
      </c>
      <c r="CX53" s="10">
        <v>2.698</v>
      </c>
      <c r="CY53" s="10">
        <v>1.0329999999999999</v>
      </c>
    </row>
    <row r="54" spans="1:103" x14ac:dyDescent="0.25">
      <c r="A54" s="5" t="s">
        <v>83</v>
      </c>
      <c r="B54" s="10">
        <v>0</v>
      </c>
      <c r="C54" s="10">
        <v>0.63800000000000001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18.597000000000001</v>
      </c>
      <c r="J54" s="10">
        <v>15.096</v>
      </c>
      <c r="K54" s="10">
        <v>0</v>
      </c>
      <c r="L54" s="13">
        <v>2.81</v>
      </c>
      <c r="M54" s="13">
        <v>0.72</v>
      </c>
      <c r="N54" s="13">
        <v>0</v>
      </c>
      <c r="O54" s="13">
        <v>0.40600000000000003</v>
      </c>
      <c r="P54" s="13">
        <v>2.3359999999999999</v>
      </c>
      <c r="Q54" s="13">
        <v>1.302</v>
      </c>
      <c r="R54" s="13">
        <v>0.70899999999999996</v>
      </c>
      <c r="S54" s="13">
        <v>2.1589999999999998</v>
      </c>
      <c r="T54" s="13">
        <v>3.2959999999999998</v>
      </c>
      <c r="U54" s="13">
        <v>3.5840000000000001</v>
      </c>
      <c r="V54" s="13">
        <v>1.393</v>
      </c>
      <c r="W54" s="13">
        <v>0</v>
      </c>
      <c r="X54" s="13">
        <v>0.63200000000000001</v>
      </c>
      <c r="Y54" s="13">
        <v>2.9359999999999999</v>
      </c>
      <c r="Z54" s="13">
        <v>0</v>
      </c>
      <c r="AA54" s="13">
        <v>8.4550000000000001</v>
      </c>
      <c r="AB54" s="13">
        <v>5.1999999999999998E-2</v>
      </c>
      <c r="AC54" s="13">
        <v>0</v>
      </c>
      <c r="AD54" s="13">
        <v>9.9149999999999991</v>
      </c>
      <c r="AE54" s="13">
        <v>3.54</v>
      </c>
      <c r="AF54" s="13">
        <v>10.458</v>
      </c>
      <c r="AG54" s="13">
        <v>1.417</v>
      </c>
      <c r="AH54" s="13">
        <v>4.0350000000000001</v>
      </c>
      <c r="AI54" s="13">
        <v>0</v>
      </c>
      <c r="AJ54" s="13">
        <v>1.8049999999999999</v>
      </c>
      <c r="AK54" s="13">
        <v>0.29299999999999998</v>
      </c>
      <c r="AL54" s="13">
        <v>3.3069999999999999</v>
      </c>
      <c r="AM54" s="13">
        <v>2.4580000000000002</v>
      </c>
      <c r="AN54" s="13">
        <v>12.641999999999999</v>
      </c>
      <c r="AO54" s="13">
        <v>5.9050000000000002</v>
      </c>
      <c r="AP54" s="13">
        <v>12.731999999999999</v>
      </c>
      <c r="AQ54" s="10">
        <v>2.8860000000000001</v>
      </c>
      <c r="AR54" s="10">
        <v>10.225</v>
      </c>
      <c r="AS54" s="10">
        <v>8.51</v>
      </c>
      <c r="AT54" s="10">
        <v>12.222</v>
      </c>
      <c r="AU54" s="10">
        <v>1.665</v>
      </c>
      <c r="AV54" s="10">
        <v>0</v>
      </c>
      <c r="AW54" s="10">
        <v>0.121</v>
      </c>
      <c r="AX54" s="10">
        <v>1.653</v>
      </c>
      <c r="AY54" s="10">
        <v>0</v>
      </c>
      <c r="AZ54" s="13">
        <v>1.2050000000000001</v>
      </c>
      <c r="BA54" s="13">
        <v>1.08</v>
      </c>
      <c r="BB54" s="13">
        <v>0</v>
      </c>
      <c r="BC54" s="13">
        <v>0.27600000000000002</v>
      </c>
      <c r="BD54" s="13">
        <v>0</v>
      </c>
      <c r="BE54" s="13">
        <v>0</v>
      </c>
      <c r="BF54" s="13">
        <v>0</v>
      </c>
      <c r="BG54" s="13">
        <v>0.53</v>
      </c>
      <c r="BH54" s="10">
        <v>2.3929999999999998</v>
      </c>
      <c r="BI54" s="10">
        <v>0</v>
      </c>
      <c r="BJ54" s="10">
        <v>0</v>
      </c>
      <c r="BK54" s="13">
        <v>24.08</v>
      </c>
      <c r="BL54" s="13">
        <v>1.589</v>
      </c>
      <c r="BM54" s="13">
        <v>13.247999999999999</v>
      </c>
      <c r="BN54" s="13">
        <v>0</v>
      </c>
      <c r="BO54" s="13">
        <v>0</v>
      </c>
      <c r="BP54" s="13">
        <v>21.707999999999998</v>
      </c>
      <c r="BQ54" s="10">
        <v>0.85</v>
      </c>
      <c r="BR54" s="10">
        <v>2.1669999999999998</v>
      </c>
      <c r="BS54" s="10">
        <v>0.63400000000000001</v>
      </c>
      <c r="BT54" s="10">
        <v>3.34</v>
      </c>
      <c r="BU54" s="10">
        <v>0</v>
      </c>
      <c r="BV54" s="10">
        <v>1.833</v>
      </c>
      <c r="BW54" s="13">
        <v>0</v>
      </c>
      <c r="BX54" s="13">
        <v>9.0999999999999998E-2</v>
      </c>
      <c r="BY54" s="13">
        <v>0</v>
      </c>
      <c r="BZ54" s="13">
        <v>31.47</v>
      </c>
      <c r="CA54" s="13">
        <v>2.2069999999999999</v>
      </c>
      <c r="CB54" s="13">
        <v>16.995999999999999</v>
      </c>
      <c r="CC54" s="13">
        <v>20.234000000000002</v>
      </c>
      <c r="CD54" s="13">
        <v>23.782</v>
      </c>
      <c r="CE54" s="13">
        <v>20.584</v>
      </c>
      <c r="CF54" s="13">
        <v>0</v>
      </c>
      <c r="CG54" s="13">
        <v>3.5379999999999998</v>
      </c>
      <c r="CH54" s="13">
        <v>1.643</v>
      </c>
      <c r="CI54" s="13">
        <v>0</v>
      </c>
      <c r="CJ54" s="13">
        <v>15.881</v>
      </c>
      <c r="CK54" s="13">
        <v>2.0379999999999998</v>
      </c>
      <c r="CL54" s="13">
        <v>1.3069999999999999</v>
      </c>
      <c r="CM54" s="13">
        <v>0.71299999999999997</v>
      </c>
      <c r="CN54" s="13">
        <v>0</v>
      </c>
      <c r="CO54" s="13">
        <v>0</v>
      </c>
      <c r="CP54" s="13">
        <v>2.8140000000000001</v>
      </c>
      <c r="CQ54" s="13">
        <v>31.562999999999999</v>
      </c>
      <c r="CR54" s="10">
        <v>6.0259999999999998</v>
      </c>
      <c r="CS54" s="10">
        <v>0.91</v>
      </c>
      <c r="CT54" s="10">
        <v>0</v>
      </c>
      <c r="CU54" s="10">
        <v>0</v>
      </c>
      <c r="CV54" s="10">
        <v>0</v>
      </c>
      <c r="CW54" s="10">
        <v>4.75</v>
      </c>
      <c r="CX54" s="10">
        <v>4.3259999999999996</v>
      </c>
      <c r="CY54" s="10">
        <v>1.0329999999999999</v>
      </c>
    </row>
    <row r="55" spans="1:103" x14ac:dyDescent="0.25">
      <c r="A55" s="5" t="s">
        <v>82</v>
      </c>
      <c r="B55" s="10">
        <v>9.3469999999999995</v>
      </c>
      <c r="C55" s="10">
        <v>9.0069999999999997</v>
      </c>
      <c r="D55" s="10">
        <v>0.81699999999999995</v>
      </c>
      <c r="E55" s="10">
        <v>0</v>
      </c>
      <c r="F55" s="10">
        <v>0</v>
      </c>
      <c r="G55" s="10">
        <v>1.8089999999999999</v>
      </c>
      <c r="H55" s="10">
        <v>0</v>
      </c>
      <c r="I55" s="10">
        <v>0.32500000000000001</v>
      </c>
      <c r="J55" s="10">
        <v>0</v>
      </c>
      <c r="K55" s="10">
        <v>0</v>
      </c>
      <c r="L55" s="13">
        <v>0.72</v>
      </c>
      <c r="M55" s="13">
        <v>0</v>
      </c>
      <c r="N55" s="13">
        <v>0.32300000000000001</v>
      </c>
      <c r="O55" s="13">
        <v>0.502</v>
      </c>
      <c r="P55" s="13">
        <v>0</v>
      </c>
      <c r="Q55" s="13">
        <v>0</v>
      </c>
      <c r="R55" s="13">
        <v>0</v>
      </c>
      <c r="S55" s="13">
        <v>1.3140000000000001</v>
      </c>
      <c r="T55" s="13">
        <v>0</v>
      </c>
      <c r="U55" s="13">
        <v>1.792</v>
      </c>
      <c r="V55" s="13">
        <v>0.69599999999999995</v>
      </c>
      <c r="W55" s="13">
        <v>0</v>
      </c>
      <c r="X55" s="13">
        <v>0.94799999999999995</v>
      </c>
      <c r="Y55" s="13">
        <v>1.468</v>
      </c>
      <c r="Z55" s="13">
        <v>3.8210000000000002</v>
      </c>
      <c r="AA55" s="13">
        <v>11.807</v>
      </c>
      <c r="AB55" s="13">
        <v>1.1499999999999999</v>
      </c>
      <c r="AC55" s="13">
        <v>0</v>
      </c>
      <c r="AD55" s="13">
        <v>0</v>
      </c>
      <c r="AE55" s="13">
        <v>3.54</v>
      </c>
      <c r="AF55" s="13">
        <v>4.4509999999999996</v>
      </c>
      <c r="AG55" s="13">
        <v>0.57799999999999996</v>
      </c>
      <c r="AH55" s="13">
        <v>6.2779999999999996</v>
      </c>
      <c r="AI55" s="13">
        <v>3.1909999999999998</v>
      </c>
      <c r="AJ55" s="13">
        <v>0.84399999999999997</v>
      </c>
      <c r="AK55" s="13">
        <v>1.8049999999999999</v>
      </c>
      <c r="AL55" s="13">
        <v>0</v>
      </c>
      <c r="AM55" s="13">
        <v>9.5039999999999996</v>
      </c>
      <c r="AN55" s="13">
        <v>0</v>
      </c>
      <c r="AO55" s="13">
        <v>4.3259999999999996</v>
      </c>
      <c r="AP55" s="13">
        <v>9.36</v>
      </c>
      <c r="AQ55" s="10">
        <v>0</v>
      </c>
      <c r="AR55" s="10">
        <v>0</v>
      </c>
      <c r="AS55" s="10">
        <v>4.2549999999999999</v>
      </c>
      <c r="AT55" s="10">
        <v>4.0739999999999998</v>
      </c>
      <c r="AU55" s="10">
        <v>0.61099999999999999</v>
      </c>
      <c r="AV55" s="10">
        <v>5.7380000000000004</v>
      </c>
      <c r="AW55" s="10">
        <v>0.161</v>
      </c>
      <c r="AX55" s="10">
        <v>0</v>
      </c>
      <c r="AY55" s="10">
        <v>3.907</v>
      </c>
      <c r="AZ55" s="13">
        <v>0</v>
      </c>
      <c r="BA55" s="13">
        <v>1.08</v>
      </c>
      <c r="BB55" s="13">
        <v>1.268</v>
      </c>
      <c r="BC55" s="13">
        <v>0</v>
      </c>
      <c r="BD55" s="13">
        <v>0</v>
      </c>
      <c r="BE55" s="13">
        <v>0</v>
      </c>
      <c r="BF55" s="13">
        <v>1.74</v>
      </c>
      <c r="BG55" s="13">
        <v>2.645</v>
      </c>
      <c r="BH55" s="10">
        <v>0</v>
      </c>
      <c r="BI55" s="10">
        <v>0</v>
      </c>
      <c r="BJ55" s="10">
        <v>0</v>
      </c>
      <c r="BK55" s="13">
        <v>0</v>
      </c>
      <c r="BL55" s="13">
        <v>7.9249999999999998</v>
      </c>
      <c r="BM55" s="13">
        <v>0</v>
      </c>
      <c r="BN55" s="13">
        <v>5.3070000000000004</v>
      </c>
      <c r="BO55" s="13">
        <v>0</v>
      </c>
      <c r="BP55" s="13">
        <v>0</v>
      </c>
      <c r="BQ55" s="10">
        <v>0</v>
      </c>
      <c r="BR55" s="10">
        <v>6.5</v>
      </c>
      <c r="BS55" s="10">
        <v>4.0730000000000004</v>
      </c>
      <c r="BT55" s="10">
        <v>0</v>
      </c>
      <c r="BU55" s="10">
        <v>0</v>
      </c>
      <c r="BV55" s="10">
        <v>1.833</v>
      </c>
      <c r="BW55" s="13">
        <v>0</v>
      </c>
      <c r="BX55" s="13">
        <v>7.9000000000000001E-2</v>
      </c>
      <c r="BY55" s="13">
        <v>0</v>
      </c>
      <c r="BZ55" s="13">
        <v>18.850000000000001</v>
      </c>
      <c r="CA55" s="13">
        <v>10.686999999999999</v>
      </c>
      <c r="CB55" s="13">
        <v>0</v>
      </c>
      <c r="CC55" s="13">
        <v>0</v>
      </c>
      <c r="CD55" s="13">
        <v>14.169</v>
      </c>
      <c r="CE55" s="13">
        <v>0.31900000000000001</v>
      </c>
      <c r="CF55" s="13">
        <v>0.21199999999999999</v>
      </c>
      <c r="CG55" s="13">
        <v>1.7689999999999999</v>
      </c>
      <c r="CH55" s="13">
        <v>1.7070000000000001</v>
      </c>
      <c r="CI55" s="13">
        <v>0</v>
      </c>
      <c r="CJ55" s="13">
        <v>0</v>
      </c>
      <c r="CK55" s="13">
        <v>0.64200000000000002</v>
      </c>
      <c r="CL55" s="13">
        <v>7.5060000000000002</v>
      </c>
      <c r="CM55" s="13">
        <v>0.71299999999999997</v>
      </c>
      <c r="CN55" s="13">
        <v>0</v>
      </c>
      <c r="CO55" s="13">
        <v>0</v>
      </c>
      <c r="CP55" s="13">
        <v>2.327</v>
      </c>
      <c r="CQ55" s="13">
        <v>6.2889999999999997</v>
      </c>
      <c r="CR55" s="10">
        <v>0</v>
      </c>
      <c r="CS55" s="10">
        <v>3.641</v>
      </c>
      <c r="CT55" s="10">
        <v>0</v>
      </c>
      <c r="CU55" s="10">
        <v>0</v>
      </c>
      <c r="CV55" s="10">
        <v>0</v>
      </c>
      <c r="CW55" s="10">
        <v>3.7240000000000002</v>
      </c>
      <c r="CX55" s="10">
        <v>0</v>
      </c>
      <c r="CY55" s="10">
        <v>0</v>
      </c>
    </row>
    <row r="56" spans="1:103" x14ac:dyDescent="0.25">
      <c r="A56" s="5" t="s">
        <v>81</v>
      </c>
      <c r="B56" s="10">
        <v>24.867999999999999</v>
      </c>
      <c r="C56" s="10">
        <v>10.294</v>
      </c>
      <c r="D56" s="10">
        <v>3.266</v>
      </c>
      <c r="E56" s="10">
        <v>0</v>
      </c>
      <c r="F56" s="10">
        <v>0.77600000000000002</v>
      </c>
      <c r="G56" s="10">
        <v>0</v>
      </c>
      <c r="H56" s="10">
        <v>0</v>
      </c>
      <c r="I56" s="10">
        <v>14.601000000000001</v>
      </c>
      <c r="J56" s="10">
        <v>18.616</v>
      </c>
      <c r="K56" s="10">
        <v>33.073</v>
      </c>
      <c r="L56" s="13">
        <v>0</v>
      </c>
      <c r="M56" s="13">
        <v>5.03</v>
      </c>
      <c r="N56" s="13">
        <v>0</v>
      </c>
      <c r="O56" s="13">
        <v>0.14599999999999999</v>
      </c>
      <c r="P56" s="13">
        <v>0</v>
      </c>
      <c r="Q56" s="13">
        <v>0</v>
      </c>
      <c r="R56" s="13">
        <v>0</v>
      </c>
      <c r="S56" s="13">
        <v>2.6280000000000001</v>
      </c>
      <c r="T56" s="13">
        <v>0.78300000000000003</v>
      </c>
      <c r="U56" s="13">
        <v>0</v>
      </c>
      <c r="V56" s="13">
        <v>1.4119999999999999</v>
      </c>
      <c r="W56" s="13">
        <v>0</v>
      </c>
      <c r="X56" s="13">
        <v>0.316</v>
      </c>
      <c r="Y56" s="13">
        <v>2.9359999999999999</v>
      </c>
      <c r="Z56" s="13">
        <v>7.6429999999999998</v>
      </c>
      <c r="AA56" s="13">
        <v>4.5140000000000002</v>
      </c>
      <c r="AB56" s="13">
        <v>0.38300000000000001</v>
      </c>
      <c r="AC56" s="13">
        <v>1.3660000000000001</v>
      </c>
      <c r="AD56" s="13">
        <v>7.5579999999999998</v>
      </c>
      <c r="AE56" s="13">
        <v>3.54</v>
      </c>
      <c r="AF56" s="13">
        <v>1.915</v>
      </c>
      <c r="AG56" s="13">
        <v>0</v>
      </c>
      <c r="AH56" s="13">
        <v>0</v>
      </c>
      <c r="AI56" s="13">
        <v>4.2519999999999998</v>
      </c>
      <c r="AJ56" s="13">
        <v>0</v>
      </c>
      <c r="AK56" s="13">
        <v>0.84399999999999997</v>
      </c>
      <c r="AL56" s="13">
        <v>0</v>
      </c>
      <c r="AM56" s="13">
        <v>0</v>
      </c>
      <c r="AN56" s="13">
        <v>4.8620000000000001</v>
      </c>
      <c r="AO56" s="13">
        <v>0.57699999999999996</v>
      </c>
      <c r="AP56" s="13">
        <v>6.7160000000000002</v>
      </c>
      <c r="AQ56" s="10">
        <v>27.271999999999998</v>
      </c>
      <c r="AR56" s="10">
        <v>0</v>
      </c>
      <c r="AS56" s="10">
        <v>12.426</v>
      </c>
      <c r="AT56" s="10">
        <v>8.1479999999999997</v>
      </c>
      <c r="AU56" s="10">
        <v>0.84599999999999997</v>
      </c>
      <c r="AV56" s="10">
        <v>5.9870000000000001</v>
      </c>
      <c r="AW56" s="10">
        <v>0.20100000000000001</v>
      </c>
      <c r="AX56" s="10">
        <v>0</v>
      </c>
      <c r="AY56" s="10">
        <v>1.6990000000000001</v>
      </c>
      <c r="AZ56" s="13">
        <v>0</v>
      </c>
      <c r="BA56" s="13">
        <v>5.4020000000000001</v>
      </c>
      <c r="BB56" s="13">
        <v>1.58</v>
      </c>
      <c r="BC56" s="13">
        <v>0.27600000000000002</v>
      </c>
      <c r="BD56" s="13">
        <v>1.4350000000000001</v>
      </c>
      <c r="BE56" s="13">
        <v>3.0720000000000001</v>
      </c>
      <c r="BF56" s="13">
        <v>0</v>
      </c>
      <c r="BG56" s="13">
        <v>4.694</v>
      </c>
      <c r="BH56" s="10">
        <v>0</v>
      </c>
      <c r="BI56" s="10">
        <v>0</v>
      </c>
      <c r="BJ56" s="10">
        <v>0</v>
      </c>
      <c r="BK56" s="13">
        <v>0</v>
      </c>
      <c r="BL56" s="13">
        <v>0</v>
      </c>
      <c r="BM56" s="13">
        <v>44.863</v>
      </c>
      <c r="BN56" s="13">
        <v>19.829999999999998</v>
      </c>
      <c r="BO56" s="13">
        <v>6.5060000000000002</v>
      </c>
      <c r="BP56" s="13">
        <v>33.554000000000002</v>
      </c>
      <c r="BQ56" s="10">
        <v>0</v>
      </c>
      <c r="BR56" s="10">
        <v>2.1669999999999998</v>
      </c>
      <c r="BS56" s="10">
        <v>0</v>
      </c>
      <c r="BT56" s="10">
        <v>0</v>
      </c>
      <c r="BU56" s="10">
        <v>0</v>
      </c>
      <c r="BV56" s="10">
        <v>6.5110000000000001</v>
      </c>
      <c r="BW56" s="13">
        <v>0.189</v>
      </c>
      <c r="BX56" s="13">
        <v>0</v>
      </c>
      <c r="BY56" s="13">
        <v>0</v>
      </c>
      <c r="BZ56" s="13">
        <v>18.704999999999998</v>
      </c>
      <c r="CA56" s="13">
        <v>2.577</v>
      </c>
      <c r="CB56" s="13">
        <v>10.69</v>
      </c>
      <c r="CC56" s="13">
        <v>0</v>
      </c>
      <c r="CD56" s="13">
        <v>5.4329999999999998</v>
      </c>
      <c r="CE56" s="13">
        <v>0</v>
      </c>
      <c r="CF56" s="13">
        <v>17.597000000000001</v>
      </c>
      <c r="CG56" s="13">
        <v>4.4279999999999999</v>
      </c>
      <c r="CH56" s="13">
        <v>5.617</v>
      </c>
      <c r="CI56" s="13">
        <v>5.5</v>
      </c>
      <c r="CJ56" s="13">
        <v>0</v>
      </c>
      <c r="CK56" s="13">
        <v>0.315</v>
      </c>
      <c r="CL56" s="13">
        <v>8.0869999999999997</v>
      </c>
      <c r="CM56" s="13">
        <v>0.71299999999999997</v>
      </c>
      <c r="CN56" s="13">
        <v>0</v>
      </c>
      <c r="CO56" s="13">
        <v>0</v>
      </c>
      <c r="CP56" s="13">
        <v>0.69199999999999995</v>
      </c>
      <c r="CQ56" s="13">
        <v>0</v>
      </c>
      <c r="CR56" s="10">
        <v>7.4349999999999996</v>
      </c>
      <c r="CS56" s="10">
        <v>0.59199999999999997</v>
      </c>
      <c r="CT56" s="10">
        <v>0</v>
      </c>
      <c r="CU56" s="10">
        <v>1.855</v>
      </c>
      <c r="CV56" s="10">
        <v>0</v>
      </c>
      <c r="CW56" s="10">
        <v>14.896000000000001</v>
      </c>
      <c r="CX56" s="10">
        <v>0</v>
      </c>
      <c r="CY56" s="10">
        <v>0</v>
      </c>
    </row>
    <row r="57" spans="1:103" x14ac:dyDescent="0.25">
      <c r="A57" s="5" t="s">
        <v>80</v>
      </c>
      <c r="B57" s="10">
        <v>9.3469999999999995</v>
      </c>
      <c r="C57" s="10">
        <v>0</v>
      </c>
      <c r="D57" s="10">
        <v>0</v>
      </c>
      <c r="E57" s="10">
        <v>5.0679999999999996</v>
      </c>
      <c r="F57" s="10">
        <v>0</v>
      </c>
      <c r="G57" s="10">
        <v>0</v>
      </c>
      <c r="H57" s="10">
        <v>0</v>
      </c>
      <c r="I57" s="10">
        <v>0</v>
      </c>
      <c r="J57" s="10">
        <v>15.209</v>
      </c>
      <c r="K57" s="10">
        <v>58.993000000000002</v>
      </c>
      <c r="L57" s="13">
        <v>5.03</v>
      </c>
      <c r="M57" s="13">
        <v>2.786</v>
      </c>
      <c r="N57" s="13">
        <v>0.115</v>
      </c>
      <c r="O57" s="13">
        <v>0.14599999999999999</v>
      </c>
      <c r="P57" s="13">
        <v>0</v>
      </c>
      <c r="Q57" s="13">
        <v>5.21</v>
      </c>
      <c r="R57" s="13">
        <v>0.46700000000000003</v>
      </c>
      <c r="S57" s="13">
        <v>1.502</v>
      </c>
      <c r="T57" s="13">
        <v>1.5669999999999999</v>
      </c>
      <c r="U57" s="13">
        <v>5.375</v>
      </c>
      <c r="V57" s="13">
        <v>1.4119999999999999</v>
      </c>
      <c r="W57" s="13">
        <v>0</v>
      </c>
      <c r="X57" s="13">
        <v>0</v>
      </c>
      <c r="Y57" s="13">
        <v>4.2089999999999996</v>
      </c>
      <c r="Z57" s="13">
        <v>0</v>
      </c>
      <c r="AA57" s="13">
        <v>4.3230000000000004</v>
      </c>
      <c r="AB57" s="13">
        <v>1.5860000000000001</v>
      </c>
      <c r="AC57" s="13">
        <v>5.4619999999999997</v>
      </c>
      <c r="AD57" s="13">
        <v>3.3889999999999998</v>
      </c>
      <c r="AE57" s="13">
        <v>0.313</v>
      </c>
      <c r="AF57" s="13">
        <v>4.8899999999999997</v>
      </c>
      <c r="AG57" s="13">
        <v>1.1559999999999999</v>
      </c>
      <c r="AH57" s="13">
        <v>6.7889999999999997</v>
      </c>
      <c r="AI57" s="13">
        <v>7.6020000000000003</v>
      </c>
      <c r="AJ57" s="13">
        <v>5.0839999999999996</v>
      </c>
      <c r="AK57" s="13">
        <v>0</v>
      </c>
      <c r="AL57" s="13">
        <v>14.483000000000001</v>
      </c>
      <c r="AM57" s="13">
        <v>0</v>
      </c>
      <c r="AN57" s="13">
        <v>4.8620000000000001</v>
      </c>
      <c r="AO57" s="13">
        <v>4.3259999999999996</v>
      </c>
      <c r="AP57" s="13">
        <v>8.27</v>
      </c>
      <c r="AQ57" s="10">
        <v>0.14899999999999999</v>
      </c>
      <c r="AR57" s="10">
        <v>27.582999999999998</v>
      </c>
      <c r="AS57" s="10">
        <v>4.97</v>
      </c>
      <c r="AT57" s="10">
        <v>4.0739999999999998</v>
      </c>
      <c r="AU57" s="10">
        <v>4.37</v>
      </c>
      <c r="AV57" s="10">
        <v>4.3040000000000003</v>
      </c>
      <c r="AW57" s="10">
        <v>6.7000000000000004E-2</v>
      </c>
      <c r="AX57" s="10">
        <v>0</v>
      </c>
      <c r="AY57" s="10">
        <v>0</v>
      </c>
      <c r="AZ57" s="13">
        <v>0</v>
      </c>
      <c r="BA57" s="13">
        <v>0</v>
      </c>
      <c r="BB57" s="13">
        <v>6.9089999999999998</v>
      </c>
      <c r="BC57" s="13">
        <v>0</v>
      </c>
      <c r="BD57" s="13">
        <v>0</v>
      </c>
      <c r="BE57" s="13">
        <v>0</v>
      </c>
      <c r="BF57" s="13">
        <v>5.6269999999999998</v>
      </c>
      <c r="BG57" s="13">
        <v>1.583</v>
      </c>
      <c r="BH57" s="10">
        <v>0</v>
      </c>
      <c r="BI57" s="10">
        <v>2.9119999999999999</v>
      </c>
      <c r="BJ57" s="10">
        <v>0</v>
      </c>
      <c r="BK57" s="13">
        <v>0</v>
      </c>
      <c r="BL57" s="13">
        <v>3.3780000000000001</v>
      </c>
      <c r="BM57" s="13">
        <v>0</v>
      </c>
      <c r="BN57" s="13">
        <v>3.766</v>
      </c>
      <c r="BO57" s="13">
        <v>8.5020000000000007</v>
      </c>
      <c r="BP57" s="13">
        <v>16.829999999999998</v>
      </c>
      <c r="BQ57" s="10">
        <v>0</v>
      </c>
      <c r="BR57" s="10">
        <v>0</v>
      </c>
      <c r="BS57" s="10">
        <v>0</v>
      </c>
      <c r="BT57" s="10">
        <v>1.67</v>
      </c>
      <c r="BU57" s="10">
        <v>0</v>
      </c>
      <c r="BV57" s="10">
        <v>3.0169999999999999</v>
      </c>
      <c r="BW57" s="13">
        <v>0</v>
      </c>
      <c r="BX57" s="13">
        <v>0.254</v>
      </c>
      <c r="BY57" s="13">
        <v>41.935000000000002</v>
      </c>
      <c r="BZ57" s="13">
        <v>6.1349999999999998</v>
      </c>
      <c r="CA57" s="13">
        <v>19.170000000000002</v>
      </c>
      <c r="CB57" s="13">
        <v>0</v>
      </c>
      <c r="CC57" s="13">
        <v>0</v>
      </c>
      <c r="CD57" s="13">
        <v>20.353000000000002</v>
      </c>
      <c r="CE57" s="13">
        <v>0</v>
      </c>
      <c r="CF57" s="13">
        <v>17.385000000000002</v>
      </c>
      <c r="CG57" s="13">
        <v>1.5680000000000001</v>
      </c>
      <c r="CH57" s="13">
        <v>3.5819999999999999</v>
      </c>
      <c r="CI57" s="13">
        <v>0</v>
      </c>
      <c r="CJ57" s="13">
        <v>3.0339999999999998</v>
      </c>
      <c r="CK57" s="13">
        <v>1.3919999999999999</v>
      </c>
      <c r="CL57" s="13">
        <v>3.2629999999999999</v>
      </c>
      <c r="CM57" s="13">
        <v>0</v>
      </c>
      <c r="CN57" s="13">
        <v>5.2670000000000003</v>
      </c>
      <c r="CO57" s="13">
        <v>0</v>
      </c>
      <c r="CP57" s="13">
        <v>2.7130000000000001</v>
      </c>
      <c r="CQ57" s="13">
        <v>33.942</v>
      </c>
      <c r="CR57" s="10">
        <v>0</v>
      </c>
      <c r="CS57" s="10">
        <v>1.82</v>
      </c>
      <c r="CT57" s="10">
        <v>0</v>
      </c>
      <c r="CU57" s="10">
        <v>1.2370000000000001</v>
      </c>
      <c r="CV57" s="10">
        <v>0</v>
      </c>
      <c r="CW57" s="10">
        <v>7.4480000000000004</v>
      </c>
      <c r="CX57" s="10">
        <v>2.8839999999999999</v>
      </c>
      <c r="CY57" s="10">
        <v>0</v>
      </c>
    </row>
    <row r="58" spans="1:103" x14ac:dyDescent="0.25">
      <c r="A58" s="5" t="s">
        <v>79</v>
      </c>
      <c r="B58" s="10">
        <v>9.3469999999999995</v>
      </c>
      <c r="C58" s="10">
        <v>9.2260000000000009</v>
      </c>
      <c r="D58" s="10">
        <v>0.56499999999999995</v>
      </c>
      <c r="E58" s="10">
        <v>5.0679999999999996</v>
      </c>
      <c r="F58" s="10">
        <v>0</v>
      </c>
      <c r="G58" s="10">
        <v>0</v>
      </c>
      <c r="H58" s="10">
        <v>2.976</v>
      </c>
      <c r="I58" s="10">
        <v>0</v>
      </c>
      <c r="J58" s="10">
        <v>16.622</v>
      </c>
      <c r="K58" s="10">
        <v>0</v>
      </c>
      <c r="L58" s="13">
        <v>2.786</v>
      </c>
      <c r="M58" s="13">
        <v>1.006</v>
      </c>
      <c r="N58" s="13">
        <v>0.34599999999999997</v>
      </c>
      <c r="O58" s="13">
        <v>0</v>
      </c>
      <c r="P58" s="13">
        <v>0</v>
      </c>
      <c r="Q58" s="13">
        <v>0</v>
      </c>
      <c r="R58" s="13">
        <v>0</v>
      </c>
      <c r="S58" s="13">
        <v>1.9710000000000001</v>
      </c>
      <c r="T58" s="13">
        <v>1.5669999999999999</v>
      </c>
      <c r="U58" s="13">
        <v>7.1669999999999998</v>
      </c>
      <c r="V58" s="13">
        <v>2.1179999999999999</v>
      </c>
      <c r="W58" s="13">
        <v>0</v>
      </c>
      <c r="X58" s="13">
        <v>1.615</v>
      </c>
      <c r="Y58" s="13">
        <v>1.21</v>
      </c>
      <c r="Z58" s="13">
        <v>0.92</v>
      </c>
      <c r="AA58" s="13">
        <v>5.4770000000000003</v>
      </c>
      <c r="AB58" s="13">
        <v>0</v>
      </c>
      <c r="AC58" s="13">
        <v>5.4619999999999997</v>
      </c>
      <c r="AD58" s="13">
        <v>9.8279999999999994</v>
      </c>
      <c r="AE58" s="13">
        <v>8.1920000000000002</v>
      </c>
      <c r="AF58" s="13">
        <v>4.8000000000000001E-2</v>
      </c>
      <c r="AG58" s="13">
        <v>0</v>
      </c>
      <c r="AH58" s="13">
        <v>7.6550000000000002</v>
      </c>
      <c r="AI58" s="13">
        <v>0</v>
      </c>
      <c r="AJ58" s="13">
        <v>4.9669999999999996</v>
      </c>
      <c r="AK58" s="13">
        <v>5.0839999999999996</v>
      </c>
      <c r="AL58" s="13">
        <v>14.483000000000001</v>
      </c>
      <c r="AM58" s="13">
        <v>0</v>
      </c>
      <c r="AN58" s="13">
        <v>0</v>
      </c>
      <c r="AO58" s="13">
        <v>12.978</v>
      </c>
      <c r="AP58" s="13">
        <v>18.884</v>
      </c>
      <c r="AQ58" s="10">
        <v>0</v>
      </c>
      <c r="AR58" s="10">
        <v>0</v>
      </c>
      <c r="AS58" s="10">
        <v>9.9410000000000007</v>
      </c>
      <c r="AT58" s="10">
        <v>0</v>
      </c>
      <c r="AU58" s="10">
        <v>1.35</v>
      </c>
      <c r="AV58" s="10">
        <v>0</v>
      </c>
      <c r="AW58" s="10">
        <v>0</v>
      </c>
      <c r="AX58" s="10">
        <v>0</v>
      </c>
      <c r="AY58" s="10">
        <v>0</v>
      </c>
      <c r="AZ58" s="13">
        <v>0.159</v>
      </c>
      <c r="BA58" s="13">
        <v>0</v>
      </c>
      <c r="BB58" s="13">
        <v>0</v>
      </c>
      <c r="BC58" s="13">
        <v>1.2949999999999999</v>
      </c>
      <c r="BD58" s="13">
        <v>0</v>
      </c>
      <c r="BE58" s="13">
        <v>0</v>
      </c>
      <c r="BF58" s="13">
        <v>1.8759999999999999</v>
      </c>
      <c r="BG58" s="13">
        <v>0</v>
      </c>
      <c r="BH58" s="10">
        <v>3.1040000000000001</v>
      </c>
      <c r="BI58" s="10">
        <v>2.851</v>
      </c>
      <c r="BJ58" s="10">
        <v>2.754</v>
      </c>
      <c r="BK58" s="13">
        <v>0</v>
      </c>
      <c r="BL58" s="13">
        <v>0</v>
      </c>
      <c r="BM58" s="13">
        <v>37.731000000000002</v>
      </c>
      <c r="BN58" s="13">
        <v>0</v>
      </c>
      <c r="BO58" s="13">
        <v>0</v>
      </c>
      <c r="BP58" s="13">
        <v>0</v>
      </c>
      <c r="BQ58" s="10">
        <v>0</v>
      </c>
      <c r="BR58" s="10">
        <v>2.9980000000000002</v>
      </c>
      <c r="BS58" s="10">
        <v>2.1669999999999998</v>
      </c>
      <c r="BT58" s="10">
        <v>1.67</v>
      </c>
      <c r="BU58" s="10">
        <v>2.7650000000000001</v>
      </c>
      <c r="BV58" s="10">
        <v>4.3410000000000002</v>
      </c>
      <c r="BW58" s="13">
        <v>0.20599999999999999</v>
      </c>
      <c r="BX58" s="13">
        <v>0.158</v>
      </c>
      <c r="BY58" s="13">
        <v>5.8860000000000001</v>
      </c>
      <c r="BZ58" s="13">
        <v>3.468</v>
      </c>
      <c r="CA58" s="13">
        <v>9.5960000000000001</v>
      </c>
      <c r="CB58" s="13">
        <v>11.21</v>
      </c>
      <c r="CC58" s="13">
        <v>0</v>
      </c>
      <c r="CD58" s="13">
        <v>15.855</v>
      </c>
      <c r="CE58" s="13">
        <v>9.6050000000000004</v>
      </c>
      <c r="CF58" s="13">
        <v>10.576000000000001</v>
      </c>
      <c r="CG58" s="13">
        <v>1.5680000000000001</v>
      </c>
      <c r="CH58" s="13">
        <v>3.2120000000000002</v>
      </c>
      <c r="CI58" s="13">
        <v>0</v>
      </c>
      <c r="CJ58" s="13">
        <v>0</v>
      </c>
      <c r="CK58" s="13">
        <v>0.88500000000000001</v>
      </c>
      <c r="CL58" s="13">
        <v>0</v>
      </c>
      <c r="CM58" s="13">
        <v>0</v>
      </c>
      <c r="CN58" s="13">
        <v>7.6950000000000003</v>
      </c>
      <c r="CO58" s="13">
        <v>0</v>
      </c>
      <c r="CP58" s="13">
        <v>4.13</v>
      </c>
      <c r="CQ58" s="13">
        <v>40.231000000000002</v>
      </c>
      <c r="CR58" s="10">
        <v>0</v>
      </c>
      <c r="CS58" s="10">
        <v>1.798</v>
      </c>
      <c r="CT58" s="10">
        <v>0</v>
      </c>
      <c r="CU58" s="10">
        <v>1.2370000000000001</v>
      </c>
      <c r="CV58" s="10">
        <v>0</v>
      </c>
      <c r="CW58" s="10">
        <v>7.4480000000000004</v>
      </c>
      <c r="CX58" s="10">
        <v>2.8839999999999999</v>
      </c>
      <c r="CY58" s="10">
        <v>0.317</v>
      </c>
    </row>
    <row r="59" spans="1:103" x14ac:dyDescent="0.25">
      <c r="A59" s="5" t="s">
        <v>78</v>
      </c>
      <c r="B59" s="10">
        <v>9.3469999999999995</v>
      </c>
      <c r="C59" s="10">
        <v>0</v>
      </c>
      <c r="D59" s="10">
        <v>0.56499999999999995</v>
      </c>
      <c r="E59" s="10">
        <v>9.0329999999999995</v>
      </c>
      <c r="F59" s="10">
        <v>0</v>
      </c>
      <c r="G59" s="10">
        <v>0</v>
      </c>
      <c r="H59" s="10">
        <v>0</v>
      </c>
      <c r="I59" s="10">
        <v>0</v>
      </c>
      <c r="J59" s="10">
        <v>30.417999999999999</v>
      </c>
      <c r="K59" s="10">
        <v>2.2639999999999998</v>
      </c>
      <c r="L59" s="13">
        <v>1.006</v>
      </c>
      <c r="M59" s="13">
        <v>2.8889999999999998</v>
      </c>
      <c r="N59" s="13">
        <v>0.115</v>
      </c>
      <c r="O59" s="13">
        <v>0.14599999999999999</v>
      </c>
      <c r="P59" s="13">
        <v>2.5289999999999999</v>
      </c>
      <c r="Q59" s="13">
        <v>1.429</v>
      </c>
      <c r="R59" s="13">
        <v>0</v>
      </c>
      <c r="S59" s="13">
        <v>0.65700000000000003</v>
      </c>
      <c r="T59" s="13">
        <v>1.5669999999999999</v>
      </c>
      <c r="U59" s="13">
        <v>3.2320000000000002</v>
      </c>
      <c r="V59" s="13">
        <v>2.1179999999999999</v>
      </c>
      <c r="W59" s="13">
        <v>0</v>
      </c>
      <c r="X59" s="13">
        <v>0.32300000000000001</v>
      </c>
      <c r="Y59" s="13">
        <v>0</v>
      </c>
      <c r="Z59" s="13">
        <v>0</v>
      </c>
      <c r="AA59" s="13">
        <v>2.5350000000000001</v>
      </c>
      <c r="AB59" s="13">
        <v>0.57299999999999995</v>
      </c>
      <c r="AC59" s="13">
        <v>5.4619999999999997</v>
      </c>
      <c r="AD59" s="13">
        <v>0</v>
      </c>
      <c r="AE59" s="13">
        <v>6.1790000000000003</v>
      </c>
      <c r="AF59" s="13">
        <v>3.9870000000000001</v>
      </c>
      <c r="AG59" s="13">
        <v>1.1559999999999999</v>
      </c>
      <c r="AH59" s="13">
        <v>5.7409999999999997</v>
      </c>
      <c r="AI59" s="13">
        <v>3.9409999999999998</v>
      </c>
      <c r="AJ59" s="13">
        <v>0.746</v>
      </c>
      <c r="AK59" s="13">
        <v>4.9669999999999996</v>
      </c>
      <c r="AL59" s="13">
        <v>0</v>
      </c>
      <c r="AM59" s="13">
        <v>10.46</v>
      </c>
      <c r="AN59" s="13">
        <v>0</v>
      </c>
      <c r="AO59" s="13">
        <v>4.3259999999999996</v>
      </c>
      <c r="AP59" s="13">
        <v>16.076000000000001</v>
      </c>
      <c r="AQ59" s="10">
        <v>12.311999999999999</v>
      </c>
      <c r="AR59" s="10">
        <v>18.103999999999999</v>
      </c>
      <c r="AS59" s="10">
        <v>2.4849999999999999</v>
      </c>
      <c r="AT59" s="10">
        <v>7.8540000000000001</v>
      </c>
      <c r="AU59" s="10">
        <v>1.35</v>
      </c>
      <c r="AV59" s="10">
        <v>0</v>
      </c>
      <c r="AW59" s="10">
        <v>0</v>
      </c>
      <c r="AX59" s="10">
        <v>0</v>
      </c>
      <c r="AY59" s="10">
        <v>0</v>
      </c>
      <c r="AZ59" s="13">
        <v>1.4339999999999999</v>
      </c>
      <c r="BA59" s="13">
        <v>2.0619999999999998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0">
        <v>2.2229999999999999</v>
      </c>
      <c r="BI59" s="10">
        <v>1.4770000000000001</v>
      </c>
      <c r="BJ59" s="10">
        <v>0.86499999999999999</v>
      </c>
      <c r="BK59" s="13">
        <v>0</v>
      </c>
      <c r="BL59" s="13">
        <v>0</v>
      </c>
      <c r="BM59" s="13">
        <v>20.751000000000001</v>
      </c>
      <c r="BN59" s="13">
        <v>0</v>
      </c>
      <c r="BO59" s="13">
        <v>10.42</v>
      </c>
      <c r="BP59" s="13">
        <v>24.091000000000001</v>
      </c>
      <c r="BQ59" s="10">
        <v>0.69</v>
      </c>
      <c r="BR59" s="10">
        <v>4.4969999999999999</v>
      </c>
      <c r="BS59" s="10">
        <v>6.5</v>
      </c>
      <c r="BT59" s="10">
        <v>3.38</v>
      </c>
      <c r="BU59" s="10">
        <v>0</v>
      </c>
      <c r="BV59" s="10">
        <v>2.17</v>
      </c>
      <c r="BW59" s="13">
        <v>0.61799999999999999</v>
      </c>
      <c r="BX59" s="13">
        <v>0</v>
      </c>
      <c r="BY59" s="13">
        <v>0</v>
      </c>
      <c r="BZ59" s="13">
        <v>10.404999999999999</v>
      </c>
      <c r="CA59" s="13">
        <v>20.616</v>
      </c>
      <c r="CB59" s="13">
        <v>0</v>
      </c>
      <c r="CC59" s="13">
        <v>0.56499999999999995</v>
      </c>
      <c r="CD59" s="13">
        <v>17.361000000000001</v>
      </c>
      <c r="CE59" s="13">
        <v>6.7110000000000003</v>
      </c>
      <c r="CF59" s="13">
        <v>32.015999999999998</v>
      </c>
      <c r="CG59" s="13">
        <v>1.5680000000000001</v>
      </c>
      <c r="CH59" s="13">
        <v>1.071</v>
      </c>
      <c r="CI59" s="13">
        <v>0</v>
      </c>
      <c r="CJ59" s="13">
        <v>10.48</v>
      </c>
      <c r="CK59" s="13">
        <v>0</v>
      </c>
      <c r="CL59" s="13">
        <v>0</v>
      </c>
      <c r="CM59" s="13">
        <v>0</v>
      </c>
      <c r="CN59" s="13">
        <v>2.3479999999999999</v>
      </c>
      <c r="CO59" s="13">
        <v>0</v>
      </c>
      <c r="CP59" s="13">
        <v>0</v>
      </c>
      <c r="CQ59" s="13">
        <v>9.5730000000000004</v>
      </c>
      <c r="CR59" s="10">
        <v>0</v>
      </c>
      <c r="CS59" s="10">
        <v>0</v>
      </c>
      <c r="CT59" s="10">
        <v>0</v>
      </c>
      <c r="CU59" s="10">
        <v>0.61799999999999999</v>
      </c>
      <c r="CV59" s="10">
        <v>0</v>
      </c>
      <c r="CW59" s="10">
        <v>9.3070000000000004</v>
      </c>
      <c r="CX59" s="10">
        <v>1.347</v>
      </c>
      <c r="CY59" s="10">
        <v>0.317</v>
      </c>
    </row>
    <row r="60" spans="1:103" x14ac:dyDescent="0.25">
      <c r="A60" s="5" t="s">
        <v>77</v>
      </c>
      <c r="B60" s="10">
        <v>10.632</v>
      </c>
      <c r="C60" s="10">
        <v>4.6130000000000004</v>
      </c>
      <c r="D60" s="10">
        <v>1.1299999999999999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48.308</v>
      </c>
      <c r="L60" s="13">
        <v>2.8889999999999998</v>
      </c>
      <c r="M60" s="13">
        <v>0.57099999999999995</v>
      </c>
      <c r="N60" s="13">
        <v>0.115</v>
      </c>
      <c r="O60" s="13">
        <v>0</v>
      </c>
      <c r="P60" s="13">
        <v>2.194</v>
      </c>
      <c r="Q60" s="13">
        <v>2.8570000000000002</v>
      </c>
      <c r="R60" s="13">
        <v>0</v>
      </c>
      <c r="S60" s="13">
        <v>1.9710000000000001</v>
      </c>
      <c r="T60" s="13">
        <v>4.5069999999999997</v>
      </c>
      <c r="U60" s="13">
        <v>0</v>
      </c>
      <c r="V60" s="13">
        <v>0.70599999999999996</v>
      </c>
      <c r="W60" s="13">
        <v>0</v>
      </c>
      <c r="X60" s="13">
        <v>0</v>
      </c>
      <c r="Y60" s="13">
        <v>0</v>
      </c>
      <c r="Z60" s="13">
        <v>2.9020000000000001</v>
      </c>
      <c r="AA60" s="13">
        <v>5.4770000000000003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0.91700000000000004</v>
      </c>
      <c r="AH60" s="13">
        <v>1.9139999999999999</v>
      </c>
      <c r="AI60" s="13">
        <v>3.4769999999999999</v>
      </c>
      <c r="AJ60" s="13">
        <v>0</v>
      </c>
      <c r="AK60" s="13">
        <v>0.746</v>
      </c>
      <c r="AL60" s="13">
        <v>0</v>
      </c>
      <c r="AM60" s="13">
        <v>0</v>
      </c>
      <c r="AN60" s="13">
        <v>20.21</v>
      </c>
      <c r="AO60" s="13">
        <v>0</v>
      </c>
      <c r="AP60" s="13">
        <v>15.144</v>
      </c>
      <c r="AQ60" s="10">
        <v>40.899000000000001</v>
      </c>
      <c r="AR60" s="10">
        <v>18.283999999999999</v>
      </c>
      <c r="AS60" s="10">
        <v>7.4560000000000004</v>
      </c>
      <c r="AT60" s="10">
        <v>0</v>
      </c>
      <c r="AU60" s="10">
        <v>1.35</v>
      </c>
      <c r="AV60" s="10">
        <v>0</v>
      </c>
      <c r="AW60" s="10">
        <v>0</v>
      </c>
      <c r="AX60" s="10">
        <v>0</v>
      </c>
      <c r="AY60" s="10">
        <v>0</v>
      </c>
      <c r="AZ60" s="13">
        <v>0</v>
      </c>
      <c r="BA60" s="13">
        <v>0</v>
      </c>
      <c r="BB60" s="13">
        <v>2.484</v>
      </c>
      <c r="BC60" s="13">
        <v>0</v>
      </c>
      <c r="BD60" s="13">
        <v>0</v>
      </c>
      <c r="BE60" s="13">
        <v>0</v>
      </c>
      <c r="BF60" s="13">
        <v>5.6269999999999998</v>
      </c>
      <c r="BG60" s="13">
        <v>0</v>
      </c>
      <c r="BH60" s="10">
        <v>7.7930000000000001</v>
      </c>
      <c r="BI60" s="10">
        <v>1.4259999999999999</v>
      </c>
      <c r="BJ60" s="10">
        <v>1.99</v>
      </c>
      <c r="BK60" s="13">
        <v>0</v>
      </c>
      <c r="BL60" s="13">
        <v>0</v>
      </c>
      <c r="BM60" s="13">
        <v>25.969000000000001</v>
      </c>
      <c r="BN60" s="13">
        <v>0</v>
      </c>
      <c r="BO60" s="13">
        <v>10.42</v>
      </c>
      <c r="BP60" s="13">
        <v>0</v>
      </c>
      <c r="BQ60" s="10">
        <v>0</v>
      </c>
      <c r="BR60" s="10">
        <v>0</v>
      </c>
      <c r="BS60" s="10">
        <v>2.1669999999999998</v>
      </c>
      <c r="BT60" s="10">
        <v>2.254</v>
      </c>
      <c r="BU60" s="10">
        <v>1.32</v>
      </c>
      <c r="BV60" s="10">
        <v>5.1870000000000003</v>
      </c>
      <c r="BW60" s="13">
        <v>0.41199999999999998</v>
      </c>
      <c r="BX60" s="13">
        <v>0.106</v>
      </c>
      <c r="BY60" s="13">
        <v>8.8339999999999996</v>
      </c>
      <c r="BZ60" s="13">
        <v>6.3090000000000002</v>
      </c>
      <c r="CA60" s="13">
        <v>28.518999999999998</v>
      </c>
      <c r="CB60" s="13">
        <v>0</v>
      </c>
      <c r="CC60" s="13">
        <v>22.216000000000001</v>
      </c>
      <c r="CD60" s="13">
        <v>6.8769999999999998</v>
      </c>
      <c r="CE60" s="13">
        <v>22.041</v>
      </c>
      <c r="CF60" s="13">
        <v>28.323</v>
      </c>
      <c r="CG60" s="13">
        <v>6.27</v>
      </c>
      <c r="CH60" s="13">
        <v>0.63600000000000001</v>
      </c>
      <c r="CI60" s="13">
        <v>0.432</v>
      </c>
      <c r="CJ60" s="13">
        <v>0</v>
      </c>
      <c r="CK60" s="13">
        <v>0</v>
      </c>
      <c r="CL60" s="13">
        <v>0</v>
      </c>
      <c r="CM60" s="13">
        <v>2.8479999999999999</v>
      </c>
      <c r="CN60" s="13">
        <v>7.6950000000000003</v>
      </c>
      <c r="CO60" s="13">
        <v>0</v>
      </c>
      <c r="CP60" s="13">
        <v>0.57999999999999996</v>
      </c>
      <c r="CQ60" s="13">
        <v>0</v>
      </c>
      <c r="CR60" s="10">
        <v>0</v>
      </c>
      <c r="CS60" s="10">
        <v>1.0109999999999999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</row>
    <row r="61" spans="1:103" x14ac:dyDescent="0.25">
      <c r="A61" s="5" t="s">
        <v>76</v>
      </c>
      <c r="B61" s="10">
        <v>27.266999999999999</v>
      </c>
      <c r="C61" s="10">
        <v>0</v>
      </c>
      <c r="D61" s="10">
        <v>0.28299999999999997</v>
      </c>
      <c r="E61" s="10">
        <v>3.0110000000000001</v>
      </c>
      <c r="F61" s="10">
        <v>0</v>
      </c>
      <c r="G61" s="10">
        <v>0</v>
      </c>
      <c r="H61" s="10">
        <v>2.93</v>
      </c>
      <c r="I61" s="10">
        <v>0</v>
      </c>
      <c r="J61" s="10">
        <v>19.689</v>
      </c>
      <c r="K61" s="10">
        <v>16.951000000000001</v>
      </c>
      <c r="L61" s="13">
        <v>0.57099999999999995</v>
      </c>
      <c r="M61" s="13">
        <v>5.7789999999999999</v>
      </c>
      <c r="N61" s="13">
        <v>0.57599999999999996</v>
      </c>
      <c r="O61" s="13">
        <v>0.433</v>
      </c>
      <c r="P61" s="13">
        <v>1.097</v>
      </c>
      <c r="Q61" s="13">
        <v>5.7149999999999999</v>
      </c>
      <c r="R61" s="13">
        <v>0</v>
      </c>
      <c r="S61" s="13">
        <v>1.097</v>
      </c>
      <c r="T61" s="13">
        <v>4.391</v>
      </c>
      <c r="U61" s="13">
        <v>1.077</v>
      </c>
      <c r="V61" s="13">
        <v>1.468</v>
      </c>
      <c r="W61" s="13">
        <v>0</v>
      </c>
      <c r="X61" s="13">
        <v>0</v>
      </c>
      <c r="Y61" s="13">
        <v>3.0489999999999999</v>
      </c>
      <c r="Z61" s="13">
        <v>2.3889999999999998</v>
      </c>
      <c r="AA61" s="13">
        <v>10.73</v>
      </c>
      <c r="AB61" s="13">
        <v>1.0449999999999999</v>
      </c>
      <c r="AC61" s="13">
        <v>0</v>
      </c>
      <c r="AD61" s="13">
        <v>0</v>
      </c>
      <c r="AE61" s="13">
        <v>3.4910000000000001</v>
      </c>
      <c r="AF61" s="13">
        <v>0</v>
      </c>
      <c r="AG61" s="13">
        <v>1.528</v>
      </c>
      <c r="AH61" s="13">
        <v>5.7409999999999997</v>
      </c>
      <c r="AI61" s="13">
        <v>3.6989999999999998</v>
      </c>
      <c r="AJ61" s="13">
        <v>0.151</v>
      </c>
      <c r="AK61" s="13">
        <v>0</v>
      </c>
      <c r="AL61" s="13">
        <v>0</v>
      </c>
      <c r="AM61" s="13">
        <v>0</v>
      </c>
      <c r="AN61" s="13">
        <v>11.032</v>
      </c>
      <c r="AO61" s="13">
        <v>0</v>
      </c>
      <c r="AP61" s="13">
        <v>6.2359999999999998</v>
      </c>
      <c r="AQ61" s="10">
        <v>14.702999999999999</v>
      </c>
      <c r="AR61" s="10">
        <v>0</v>
      </c>
      <c r="AS61" s="10">
        <v>2.573</v>
      </c>
      <c r="AT61" s="10">
        <v>0</v>
      </c>
      <c r="AU61" s="10">
        <v>7.875</v>
      </c>
      <c r="AV61" s="10">
        <v>0</v>
      </c>
      <c r="AW61" s="10">
        <v>0.91700000000000004</v>
      </c>
      <c r="AX61" s="10">
        <v>0</v>
      </c>
      <c r="AY61" s="10">
        <v>15.52</v>
      </c>
      <c r="AZ61" s="13">
        <v>3.0670000000000002</v>
      </c>
      <c r="BA61" s="13">
        <v>0</v>
      </c>
      <c r="BB61" s="13">
        <v>0</v>
      </c>
      <c r="BC61" s="13">
        <v>0</v>
      </c>
      <c r="BD61" s="13">
        <v>0.33400000000000002</v>
      </c>
      <c r="BE61" s="13">
        <v>0</v>
      </c>
      <c r="BF61" s="13">
        <v>0</v>
      </c>
      <c r="BG61" s="13">
        <v>0.59099999999999997</v>
      </c>
      <c r="BH61" s="10">
        <v>0</v>
      </c>
      <c r="BI61" s="10">
        <v>2.851</v>
      </c>
      <c r="BJ61" s="10">
        <v>0</v>
      </c>
      <c r="BK61" s="13">
        <v>0</v>
      </c>
      <c r="BL61" s="13">
        <v>27.292000000000002</v>
      </c>
      <c r="BM61" s="13">
        <v>22.722999999999999</v>
      </c>
      <c r="BN61" s="13">
        <v>8.3780000000000001</v>
      </c>
      <c r="BO61" s="13">
        <v>0</v>
      </c>
      <c r="BP61" s="13">
        <v>18.391999999999999</v>
      </c>
      <c r="BQ61" s="10">
        <v>0.23899999999999999</v>
      </c>
      <c r="BR61" s="10">
        <v>5.9960000000000004</v>
      </c>
      <c r="BS61" s="10">
        <v>0</v>
      </c>
      <c r="BT61" s="10">
        <v>0</v>
      </c>
      <c r="BU61" s="10">
        <v>0</v>
      </c>
      <c r="BV61" s="10">
        <v>1.698</v>
      </c>
      <c r="BW61" s="13">
        <v>0.41199999999999998</v>
      </c>
      <c r="BX61" s="13">
        <v>0</v>
      </c>
      <c r="BY61" s="13">
        <v>0</v>
      </c>
      <c r="BZ61" s="13">
        <v>8.5</v>
      </c>
      <c r="CA61" s="13">
        <v>0</v>
      </c>
      <c r="CB61" s="13">
        <v>1.9039999999999999</v>
      </c>
      <c r="CC61" s="13">
        <v>28.140999999999998</v>
      </c>
      <c r="CD61" s="13">
        <v>0</v>
      </c>
      <c r="CE61" s="13">
        <v>0</v>
      </c>
      <c r="CF61" s="13">
        <v>1.2390000000000001</v>
      </c>
      <c r="CG61" s="13">
        <v>0</v>
      </c>
      <c r="CH61" s="13">
        <v>1.9079999999999999</v>
      </c>
      <c r="CI61" s="13">
        <v>0</v>
      </c>
      <c r="CJ61" s="13">
        <v>20.960999999999999</v>
      </c>
      <c r="CK61" s="13">
        <v>1.1879999999999999</v>
      </c>
      <c r="CL61" s="13">
        <v>3.544</v>
      </c>
      <c r="CM61" s="13">
        <v>2.8479999999999999</v>
      </c>
      <c r="CN61" s="13">
        <v>0</v>
      </c>
      <c r="CO61" s="13">
        <v>0</v>
      </c>
      <c r="CP61" s="13">
        <v>0.50800000000000001</v>
      </c>
      <c r="CQ61" s="13">
        <v>17.501000000000001</v>
      </c>
      <c r="CR61" s="10">
        <v>9.8859999999999992</v>
      </c>
      <c r="CS61" s="10">
        <v>2.4990000000000001</v>
      </c>
      <c r="CT61" s="10">
        <v>0</v>
      </c>
      <c r="CU61" s="10">
        <v>0</v>
      </c>
      <c r="CV61" s="10">
        <v>0</v>
      </c>
      <c r="CW61" s="10">
        <v>6.5069999999999997</v>
      </c>
      <c r="CX61" s="10">
        <v>1.347</v>
      </c>
      <c r="CY61" s="10">
        <v>0</v>
      </c>
    </row>
    <row r="62" spans="1:103" x14ac:dyDescent="0.25">
      <c r="A62" s="5" t="s">
        <v>75</v>
      </c>
      <c r="B62" s="10">
        <v>19.048999999999999</v>
      </c>
      <c r="C62" s="10">
        <v>0</v>
      </c>
      <c r="D62" s="10">
        <v>1.413</v>
      </c>
      <c r="E62" s="10">
        <v>3.0110000000000001</v>
      </c>
      <c r="F62" s="10">
        <v>0</v>
      </c>
      <c r="G62" s="10">
        <v>0</v>
      </c>
      <c r="H62" s="10">
        <v>14.81</v>
      </c>
      <c r="I62" s="10">
        <v>2.976</v>
      </c>
      <c r="J62" s="10">
        <v>1.722</v>
      </c>
      <c r="K62" s="10">
        <v>21.864000000000001</v>
      </c>
      <c r="L62" s="13">
        <v>5.7789999999999999</v>
      </c>
      <c r="M62" s="13">
        <v>2.8889999999999998</v>
      </c>
      <c r="N62" s="13">
        <v>0</v>
      </c>
      <c r="O62" s="13">
        <v>0.14399999999999999</v>
      </c>
      <c r="P62" s="13">
        <v>0.22</v>
      </c>
      <c r="Q62" s="13">
        <v>5.7149999999999999</v>
      </c>
      <c r="R62" s="13">
        <v>0</v>
      </c>
      <c r="S62" s="13">
        <v>1.6459999999999999</v>
      </c>
      <c r="T62" s="13">
        <v>0</v>
      </c>
      <c r="U62" s="13">
        <v>3.2320000000000002</v>
      </c>
      <c r="V62" s="13">
        <v>2.9350000000000001</v>
      </c>
      <c r="W62" s="13">
        <v>0</v>
      </c>
      <c r="X62" s="13">
        <v>0</v>
      </c>
      <c r="Y62" s="13">
        <v>3.3079999999999998</v>
      </c>
      <c r="Z62" s="13">
        <v>0</v>
      </c>
      <c r="AA62" s="13">
        <v>11.18</v>
      </c>
      <c r="AB62" s="13">
        <v>0.57299999999999995</v>
      </c>
      <c r="AC62" s="13">
        <v>0</v>
      </c>
      <c r="AD62" s="13">
        <v>0</v>
      </c>
      <c r="AE62" s="13">
        <v>0</v>
      </c>
      <c r="AF62" s="13">
        <v>16.539000000000001</v>
      </c>
      <c r="AG62" s="13">
        <v>0.91700000000000004</v>
      </c>
      <c r="AH62" s="13">
        <v>8.9849999999999994</v>
      </c>
      <c r="AI62" s="13">
        <v>0</v>
      </c>
      <c r="AJ62" s="13">
        <v>0</v>
      </c>
      <c r="AK62" s="13">
        <v>0.151</v>
      </c>
      <c r="AL62" s="13">
        <v>0</v>
      </c>
      <c r="AM62" s="13">
        <v>0</v>
      </c>
      <c r="AN62" s="13">
        <v>56.186999999999998</v>
      </c>
      <c r="AO62" s="13">
        <v>0</v>
      </c>
      <c r="AP62" s="13">
        <v>11.993</v>
      </c>
      <c r="AQ62" s="10">
        <v>30.113</v>
      </c>
      <c r="AR62" s="10">
        <v>35.527000000000001</v>
      </c>
      <c r="AS62" s="10">
        <v>2.573</v>
      </c>
      <c r="AT62" s="10">
        <v>0</v>
      </c>
      <c r="AU62" s="10">
        <v>4.5</v>
      </c>
      <c r="AV62" s="10">
        <v>0</v>
      </c>
      <c r="AW62" s="10">
        <v>0.184</v>
      </c>
      <c r="AX62" s="10">
        <v>1.667</v>
      </c>
      <c r="AY62" s="10">
        <v>6.8109999999999999</v>
      </c>
      <c r="AZ62" s="13">
        <v>1.4339999999999999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1.1639999999999999</v>
      </c>
      <c r="BG62" s="13">
        <v>3.6230000000000002</v>
      </c>
      <c r="BH62" s="10">
        <v>1.6220000000000001</v>
      </c>
      <c r="BI62" s="10">
        <v>1.4259999999999999</v>
      </c>
      <c r="BJ62" s="10">
        <v>3.9790000000000001</v>
      </c>
      <c r="BK62" s="13">
        <v>0</v>
      </c>
      <c r="BL62" s="13">
        <v>9.0969999999999995</v>
      </c>
      <c r="BM62" s="13">
        <v>8.1720000000000006</v>
      </c>
      <c r="BN62" s="13">
        <v>0</v>
      </c>
      <c r="BO62" s="13">
        <v>0</v>
      </c>
      <c r="BP62" s="13">
        <v>26.071000000000002</v>
      </c>
      <c r="BQ62" s="10">
        <v>0</v>
      </c>
      <c r="BR62" s="10">
        <v>0</v>
      </c>
      <c r="BS62" s="10">
        <v>2.9980000000000002</v>
      </c>
      <c r="BT62" s="10">
        <v>3.38</v>
      </c>
      <c r="BU62" s="10">
        <v>3.1139999999999999</v>
      </c>
      <c r="BV62" s="10">
        <v>1.698</v>
      </c>
      <c r="BW62" s="13">
        <v>0.47699999999999998</v>
      </c>
      <c r="BX62" s="13">
        <v>0.121</v>
      </c>
      <c r="BY62" s="13">
        <v>14.052</v>
      </c>
      <c r="BZ62" s="13">
        <v>4.4210000000000003</v>
      </c>
      <c r="CA62" s="13">
        <v>1.6819999999999999</v>
      </c>
      <c r="CB62" s="13">
        <v>11.673</v>
      </c>
      <c r="CC62" s="13">
        <v>0</v>
      </c>
      <c r="CD62" s="13">
        <v>38.767000000000003</v>
      </c>
      <c r="CE62" s="13">
        <v>0</v>
      </c>
      <c r="CF62" s="13">
        <v>37.401000000000003</v>
      </c>
      <c r="CG62" s="13">
        <v>1.304</v>
      </c>
      <c r="CH62" s="13">
        <v>1.181</v>
      </c>
      <c r="CI62" s="13">
        <v>1.609</v>
      </c>
      <c r="CJ62" s="13">
        <v>10.48</v>
      </c>
      <c r="CK62" s="13">
        <v>0</v>
      </c>
      <c r="CL62" s="13">
        <v>4.8550000000000004</v>
      </c>
      <c r="CM62" s="13">
        <v>1.4239999999999999</v>
      </c>
      <c r="CN62" s="13">
        <v>0</v>
      </c>
      <c r="CO62" s="13">
        <v>0</v>
      </c>
      <c r="CP62" s="13">
        <v>0</v>
      </c>
      <c r="CQ62" s="13">
        <v>7.9269999999999996</v>
      </c>
      <c r="CR62" s="10">
        <v>0</v>
      </c>
      <c r="CS62" s="10">
        <v>0</v>
      </c>
      <c r="CT62" s="10">
        <v>0</v>
      </c>
      <c r="CU62" s="10">
        <v>1.133</v>
      </c>
      <c r="CV62" s="10">
        <v>3.8879999999999999</v>
      </c>
      <c r="CW62" s="10">
        <v>13.207000000000001</v>
      </c>
      <c r="CX62" s="10">
        <v>0</v>
      </c>
      <c r="CY62" s="10">
        <v>0</v>
      </c>
    </row>
    <row r="63" spans="1:103" x14ac:dyDescent="0.25">
      <c r="A63" s="5" t="s">
        <v>74</v>
      </c>
      <c r="B63" s="10">
        <v>28.997</v>
      </c>
      <c r="C63" s="10">
        <v>0</v>
      </c>
      <c r="D63" s="10">
        <v>0</v>
      </c>
      <c r="E63" s="10">
        <v>3.0110000000000001</v>
      </c>
      <c r="F63" s="10">
        <v>0</v>
      </c>
      <c r="G63" s="10">
        <v>0</v>
      </c>
      <c r="H63" s="10">
        <v>0.376</v>
      </c>
      <c r="I63" s="10">
        <v>0</v>
      </c>
      <c r="J63" s="10">
        <v>0</v>
      </c>
      <c r="K63" s="10">
        <v>0</v>
      </c>
      <c r="L63" s="13">
        <v>2.8889999999999998</v>
      </c>
      <c r="M63" s="13">
        <v>1.2210000000000001</v>
      </c>
      <c r="N63" s="13">
        <v>0.23</v>
      </c>
      <c r="O63" s="13">
        <v>0</v>
      </c>
      <c r="P63" s="13">
        <v>1.097</v>
      </c>
      <c r="Q63" s="13">
        <v>4.2859999999999996</v>
      </c>
      <c r="R63" s="13">
        <v>0</v>
      </c>
      <c r="S63" s="13">
        <v>1.254</v>
      </c>
      <c r="T63" s="13">
        <v>3.1779999999999999</v>
      </c>
      <c r="U63" s="13">
        <v>2.1549999999999998</v>
      </c>
      <c r="V63" s="13">
        <v>1.468</v>
      </c>
      <c r="W63" s="13">
        <v>0.496</v>
      </c>
      <c r="X63" s="13">
        <v>0.59599999999999997</v>
      </c>
      <c r="Y63" s="13">
        <v>2.16</v>
      </c>
      <c r="Z63" s="13">
        <v>5.8049999999999997</v>
      </c>
      <c r="AA63" s="13">
        <v>10.012</v>
      </c>
      <c r="AB63" s="13">
        <v>2.8650000000000002</v>
      </c>
      <c r="AC63" s="13">
        <v>0</v>
      </c>
      <c r="AD63" s="13">
        <v>0</v>
      </c>
      <c r="AE63" s="13">
        <v>6.6470000000000002</v>
      </c>
      <c r="AF63" s="13">
        <v>0</v>
      </c>
      <c r="AG63" s="13">
        <v>1.222</v>
      </c>
      <c r="AH63" s="13">
        <v>0</v>
      </c>
      <c r="AI63" s="13">
        <v>6.9539999999999997</v>
      </c>
      <c r="AJ63" s="13">
        <v>0</v>
      </c>
      <c r="AK63" s="13">
        <v>0</v>
      </c>
      <c r="AL63" s="13">
        <v>0</v>
      </c>
      <c r="AM63" s="13">
        <v>0</v>
      </c>
      <c r="AN63" s="13">
        <v>4.0789999999999997</v>
      </c>
      <c r="AO63" s="13">
        <v>0</v>
      </c>
      <c r="AP63" s="13">
        <v>3.9980000000000002</v>
      </c>
      <c r="AQ63" s="10">
        <v>37.091999999999999</v>
      </c>
      <c r="AR63" s="10">
        <v>18.003</v>
      </c>
      <c r="AS63" s="10">
        <v>7.7190000000000003</v>
      </c>
      <c r="AT63" s="10">
        <v>0</v>
      </c>
      <c r="AU63" s="10">
        <v>4.3479999999999999</v>
      </c>
      <c r="AV63" s="10">
        <v>2.1070000000000002</v>
      </c>
      <c r="AW63" s="10">
        <v>0.54900000000000004</v>
      </c>
      <c r="AX63" s="10">
        <v>0.83299999999999996</v>
      </c>
      <c r="AY63" s="10">
        <v>7.03</v>
      </c>
      <c r="AZ63" s="13">
        <v>0</v>
      </c>
      <c r="BA63" s="13">
        <v>0</v>
      </c>
      <c r="BB63" s="13">
        <v>0</v>
      </c>
      <c r="BC63" s="13">
        <v>0</v>
      </c>
      <c r="BD63" s="13">
        <v>0.33400000000000002</v>
      </c>
      <c r="BE63" s="13">
        <v>2.1059999999999999</v>
      </c>
      <c r="BF63" s="13">
        <v>2.3279999999999998</v>
      </c>
      <c r="BG63" s="13">
        <v>3.6230000000000002</v>
      </c>
      <c r="BH63" s="10">
        <v>1.6890000000000001</v>
      </c>
      <c r="BI63" s="10">
        <v>0</v>
      </c>
      <c r="BJ63" s="10">
        <v>1.595</v>
      </c>
      <c r="BK63" s="13">
        <v>0</v>
      </c>
      <c r="BL63" s="13">
        <v>0</v>
      </c>
      <c r="BM63" s="13">
        <v>14.3</v>
      </c>
      <c r="BN63" s="13">
        <v>0</v>
      </c>
      <c r="BO63" s="13">
        <v>7.9669999999999996</v>
      </c>
      <c r="BP63" s="13">
        <v>11.218999999999999</v>
      </c>
      <c r="BQ63" s="10">
        <v>1.5049999999999999</v>
      </c>
      <c r="BR63" s="10">
        <v>4.6459999999999999</v>
      </c>
      <c r="BS63" s="10">
        <v>4.4969999999999999</v>
      </c>
      <c r="BT63" s="10">
        <v>4.5069999999999997</v>
      </c>
      <c r="BU63" s="10">
        <v>1.32</v>
      </c>
      <c r="BV63" s="10">
        <v>1.698</v>
      </c>
      <c r="BW63" s="13">
        <v>0.28999999999999998</v>
      </c>
      <c r="BX63" s="13">
        <v>0.106</v>
      </c>
      <c r="BY63" s="13">
        <v>12.824</v>
      </c>
      <c r="BZ63" s="13">
        <v>32.039000000000001</v>
      </c>
      <c r="CA63" s="13">
        <v>11.606999999999999</v>
      </c>
      <c r="CB63" s="13">
        <v>0</v>
      </c>
      <c r="CC63" s="13">
        <v>9.8719999999999999</v>
      </c>
      <c r="CD63" s="13">
        <v>17.361000000000001</v>
      </c>
      <c r="CE63" s="13">
        <v>7.0359999999999996</v>
      </c>
      <c r="CF63" s="13">
        <v>9.391</v>
      </c>
      <c r="CG63" s="13">
        <v>3.274</v>
      </c>
      <c r="CH63" s="13">
        <v>1.5349999999999999</v>
      </c>
      <c r="CI63" s="13">
        <v>2.0099999999999998</v>
      </c>
      <c r="CJ63" s="13">
        <v>10.48</v>
      </c>
      <c r="CK63" s="13">
        <v>0</v>
      </c>
      <c r="CL63" s="13">
        <v>4.68</v>
      </c>
      <c r="CM63" s="13">
        <v>0</v>
      </c>
      <c r="CN63" s="13">
        <v>0</v>
      </c>
      <c r="CO63" s="13">
        <v>0</v>
      </c>
      <c r="CP63" s="13">
        <v>2.032</v>
      </c>
      <c r="CQ63" s="13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</row>
    <row r="64" spans="1:103" x14ac:dyDescent="0.25">
      <c r="A64" s="5" t="s">
        <v>73</v>
      </c>
      <c r="B64" s="10">
        <v>21.99</v>
      </c>
      <c r="C64" s="10">
        <v>0</v>
      </c>
      <c r="D64" s="10">
        <v>1.085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3">
        <v>1.2210000000000001</v>
      </c>
      <c r="M64" s="13">
        <v>0</v>
      </c>
      <c r="N64" s="13">
        <v>0.34499999999999997</v>
      </c>
      <c r="O64" s="13">
        <v>0</v>
      </c>
      <c r="P64" s="13">
        <v>1.097</v>
      </c>
      <c r="Q64" s="13">
        <v>4.048</v>
      </c>
      <c r="R64" s="13">
        <v>0</v>
      </c>
      <c r="S64" s="13">
        <v>0.627</v>
      </c>
      <c r="T64" s="13">
        <v>1.0589999999999999</v>
      </c>
      <c r="U64" s="13">
        <v>4.7210000000000001</v>
      </c>
      <c r="V64" s="13">
        <v>3.355</v>
      </c>
      <c r="W64" s="13">
        <v>0.496</v>
      </c>
      <c r="X64" s="13">
        <v>0.29799999999999999</v>
      </c>
      <c r="Y64" s="13">
        <v>4.319</v>
      </c>
      <c r="Z64" s="13">
        <v>0.45400000000000001</v>
      </c>
      <c r="AA64" s="13">
        <v>11.567</v>
      </c>
      <c r="AB64" s="13">
        <v>0</v>
      </c>
      <c r="AC64" s="13">
        <v>0</v>
      </c>
      <c r="AD64" s="13">
        <v>21.291</v>
      </c>
      <c r="AE64" s="13">
        <v>0</v>
      </c>
      <c r="AF64" s="13">
        <v>5.5129999999999999</v>
      </c>
      <c r="AG64" s="13">
        <v>0.30599999999999999</v>
      </c>
      <c r="AH64" s="13">
        <v>5.6319999999999997</v>
      </c>
      <c r="AI64" s="13">
        <v>0</v>
      </c>
      <c r="AJ64" s="13">
        <v>1.8160000000000001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12.281000000000001</v>
      </c>
      <c r="AQ64" s="10">
        <v>37.369</v>
      </c>
      <c r="AR64" s="10">
        <v>28.92</v>
      </c>
      <c r="AS64" s="10">
        <v>2.573</v>
      </c>
      <c r="AT64" s="10">
        <v>0</v>
      </c>
      <c r="AU64" s="10">
        <v>15.488</v>
      </c>
      <c r="AV64" s="10">
        <v>3.5750000000000002</v>
      </c>
      <c r="AW64" s="10">
        <v>0.40899999999999997</v>
      </c>
      <c r="AX64" s="10">
        <v>2.5</v>
      </c>
      <c r="AY64" s="10">
        <v>0.219</v>
      </c>
      <c r="AZ64" s="13">
        <v>1.494</v>
      </c>
      <c r="BA64" s="13">
        <v>0</v>
      </c>
      <c r="BB64" s="13">
        <v>0</v>
      </c>
      <c r="BC64" s="13">
        <v>0</v>
      </c>
      <c r="BD64" s="13">
        <v>1.0009999999999999</v>
      </c>
      <c r="BE64" s="13">
        <v>2.1059999999999999</v>
      </c>
      <c r="BF64" s="13">
        <v>4.657</v>
      </c>
      <c r="BG64" s="13">
        <v>0</v>
      </c>
      <c r="BH64" s="10">
        <v>1.93</v>
      </c>
      <c r="BI64" s="10">
        <v>0</v>
      </c>
      <c r="BJ64" s="10">
        <v>1.99</v>
      </c>
      <c r="BK64" s="13">
        <v>30.599</v>
      </c>
      <c r="BL64" s="13">
        <v>12.153</v>
      </c>
      <c r="BM64" s="13">
        <v>35.750999999999998</v>
      </c>
      <c r="BN64" s="13">
        <v>3.1859999999999999</v>
      </c>
      <c r="BO64" s="13">
        <v>23.901</v>
      </c>
      <c r="BP64" s="13">
        <v>11.218999999999999</v>
      </c>
      <c r="BQ64" s="10">
        <v>0.67700000000000005</v>
      </c>
      <c r="BR64" s="10">
        <v>0</v>
      </c>
      <c r="BS64" s="10">
        <v>0</v>
      </c>
      <c r="BT64" s="10">
        <v>0</v>
      </c>
      <c r="BU64" s="10">
        <v>1.794</v>
      </c>
      <c r="BV64" s="10">
        <v>8.49</v>
      </c>
      <c r="BW64" s="13">
        <v>0.28999999999999998</v>
      </c>
      <c r="BX64" s="13">
        <v>0</v>
      </c>
      <c r="BY64" s="13">
        <v>11.053000000000001</v>
      </c>
      <c r="BZ64" s="13">
        <v>0.29299999999999998</v>
      </c>
      <c r="CA64" s="13">
        <v>0</v>
      </c>
      <c r="CB64" s="13">
        <v>11.061</v>
      </c>
      <c r="CC64" s="13">
        <v>0</v>
      </c>
      <c r="CD64" s="13">
        <v>20.957999999999998</v>
      </c>
      <c r="CE64" s="13">
        <v>13.061999999999999</v>
      </c>
      <c r="CF64" s="13">
        <v>9.1769999999999996</v>
      </c>
      <c r="CG64" s="13">
        <v>1.304</v>
      </c>
      <c r="CH64" s="13">
        <v>0.82199999999999995</v>
      </c>
      <c r="CI64" s="13">
        <v>4.0199999999999996</v>
      </c>
      <c r="CJ64" s="13">
        <v>0</v>
      </c>
      <c r="CK64" s="13">
        <v>0</v>
      </c>
      <c r="CL64" s="13">
        <v>0</v>
      </c>
      <c r="CM64" s="13">
        <v>4.6260000000000003</v>
      </c>
      <c r="CN64" s="13">
        <v>0</v>
      </c>
      <c r="CO64" s="13">
        <v>0</v>
      </c>
      <c r="CP64" s="13">
        <v>1.016</v>
      </c>
      <c r="CQ64" s="13">
        <v>19.146000000000001</v>
      </c>
      <c r="CR64" s="10">
        <v>0</v>
      </c>
      <c r="CS64" s="10">
        <v>0</v>
      </c>
      <c r="CT64" s="10">
        <v>0.28100000000000003</v>
      </c>
      <c r="CU64" s="10">
        <v>1.6990000000000001</v>
      </c>
      <c r="CV64" s="10">
        <v>0</v>
      </c>
      <c r="CW64" s="10">
        <v>0</v>
      </c>
      <c r="CX64" s="10">
        <v>1.347</v>
      </c>
      <c r="CY64" s="10">
        <v>0</v>
      </c>
    </row>
    <row r="65" spans="1:103" x14ac:dyDescent="0.25">
      <c r="A65" s="5" t="s">
        <v>72</v>
      </c>
      <c r="B65" s="10">
        <v>26.574999999999999</v>
      </c>
      <c r="C65" s="10">
        <v>5.8449999999999998</v>
      </c>
      <c r="D65" s="10">
        <v>0</v>
      </c>
      <c r="E65" s="10">
        <v>2.0739999999999998</v>
      </c>
      <c r="F65" s="10">
        <v>0</v>
      </c>
      <c r="G65" s="10">
        <v>0</v>
      </c>
      <c r="H65" s="10">
        <v>0</v>
      </c>
      <c r="I65" s="10">
        <v>2.93</v>
      </c>
      <c r="J65" s="10">
        <v>6.9740000000000002</v>
      </c>
      <c r="K65" s="10">
        <v>0</v>
      </c>
      <c r="L65" s="13">
        <v>0</v>
      </c>
      <c r="M65" s="13">
        <v>8.9160000000000004</v>
      </c>
      <c r="N65" s="13">
        <v>0</v>
      </c>
      <c r="O65" s="13">
        <v>0</v>
      </c>
      <c r="P65" s="13">
        <v>1.244</v>
      </c>
      <c r="Q65" s="13">
        <v>0</v>
      </c>
      <c r="R65" s="13">
        <v>0</v>
      </c>
      <c r="S65" s="13">
        <v>0</v>
      </c>
      <c r="T65" s="13">
        <v>2.4369999999999998</v>
      </c>
      <c r="U65" s="13">
        <v>3.5409999999999999</v>
      </c>
      <c r="V65" s="13">
        <v>2.202</v>
      </c>
      <c r="W65" s="13">
        <v>0.99199999999999999</v>
      </c>
      <c r="X65" s="13">
        <v>0.59599999999999997</v>
      </c>
      <c r="Y65" s="13">
        <v>2.16</v>
      </c>
      <c r="Z65" s="13">
        <v>1.9350000000000001</v>
      </c>
      <c r="AA65" s="13">
        <v>0</v>
      </c>
      <c r="AB65" s="13">
        <v>0</v>
      </c>
      <c r="AC65" s="13">
        <v>20.876999999999999</v>
      </c>
      <c r="AD65" s="13">
        <v>0</v>
      </c>
      <c r="AE65" s="13">
        <v>1.18</v>
      </c>
      <c r="AF65" s="13">
        <v>0</v>
      </c>
      <c r="AG65" s="13">
        <v>0.36299999999999999</v>
      </c>
      <c r="AH65" s="13">
        <v>2.665</v>
      </c>
      <c r="AI65" s="13">
        <v>3.1480000000000001</v>
      </c>
      <c r="AJ65" s="13">
        <v>0.40799999999999997</v>
      </c>
      <c r="AK65" s="13">
        <v>1.8160000000000001</v>
      </c>
      <c r="AL65" s="13">
        <v>0</v>
      </c>
      <c r="AM65" s="13">
        <v>4.9960000000000004</v>
      </c>
      <c r="AN65" s="13">
        <v>10.734</v>
      </c>
      <c r="AO65" s="13">
        <v>0</v>
      </c>
      <c r="AP65" s="13">
        <v>10.714</v>
      </c>
      <c r="AQ65" s="10">
        <v>0</v>
      </c>
      <c r="AR65" s="10">
        <v>0</v>
      </c>
      <c r="AS65" s="10">
        <v>10.292</v>
      </c>
      <c r="AT65" s="10">
        <v>0</v>
      </c>
      <c r="AU65" s="10">
        <v>1.905</v>
      </c>
      <c r="AV65" s="10">
        <v>0</v>
      </c>
      <c r="AW65" s="10">
        <v>0.42099999999999999</v>
      </c>
      <c r="AX65" s="10">
        <v>0</v>
      </c>
      <c r="AY65" s="10">
        <v>7.03</v>
      </c>
      <c r="AZ65" s="13">
        <v>1.494</v>
      </c>
      <c r="BA65" s="13">
        <v>0</v>
      </c>
      <c r="BB65" s="13">
        <v>0</v>
      </c>
      <c r="BC65" s="13">
        <v>0.66600000000000004</v>
      </c>
      <c r="BD65" s="13">
        <v>0.33400000000000002</v>
      </c>
      <c r="BE65" s="13">
        <v>2.1059999999999999</v>
      </c>
      <c r="BF65" s="13">
        <v>3.1819999999999999</v>
      </c>
      <c r="BG65" s="13">
        <v>0</v>
      </c>
      <c r="BH65" s="10">
        <v>1.93</v>
      </c>
      <c r="BI65" s="10">
        <v>3.64</v>
      </c>
      <c r="BJ65" s="10">
        <v>8.2270000000000003</v>
      </c>
      <c r="BK65" s="13">
        <v>28.658000000000001</v>
      </c>
      <c r="BL65" s="13">
        <v>0</v>
      </c>
      <c r="BM65" s="13">
        <v>0</v>
      </c>
      <c r="BN65" s="13">
        <v>13.94</v>
      </c>
      <c r="BO65" s="13">
        <v>0</v>
      </c>
      <c r="BP65" s="13">
        <v>0</v>
      </c>
      <c r="BQ65" s="10">
        <v>1.075</v>
      </c>
      <c r="BR65" s="10">
        <v>1.8740000000000001</v>
      </c>
      <c r="BS65" s="10">
        <v>5.9960000000000004</v>
      </c>
      <c r="BT65" s="10">
        <v>0</v>
      </c>
      <c r="BU65" s="10">
        <v>5.5940000000000003</v>
      </c>
      <c r="BV65" s="10">
        <v>0</v>
      </c>
      <c r="BW65" s="13">
        <v>0.28999999999999998</v>
      </c>
      <c r="BX65" s="13">
        <v>0.70799999999999996</v>
      </c>
      <c r="BY65" s="13">
        <v>0.42</v>
      </c>
      <c r="BZ65" s="13">
        <v>23.809000000000001</v>
      </c>
      <c r="CA65" s="13">
        <v>44.185000000000002</v>
      </c>
      <c r="CB65" s="13">
        <v>4.931</v>
      </c>
      <c r="CC65" s="13">
        <v>9.4619999999999997</v>
      </c>
      <c r="CD65" s="13">
        <v>15.481999999999999</v>
      </c>
      <c r="CE65" s="13">
        <v>11.864000000000001</v>
      </c>
      <c r="CF65" s="13">
        <v>23.609000000000002</v>
      </c>
      <c r="CG65" s="13">
        <v>6.5179999999999998</v>
      </c>
      <c r="CH65" s="13">
        <v>5.5339999999999998</v>
      </c>
      <c r="CI65" s="13">
        <v>0</v>
      </c>
      <c r="CJ65" s="13">
        <v>29.649000000000001</v>
      </c>
      <c r="CK65" s="13">
        <v>0.68600000000000005</v>
      </c>
      <c r="CL65" s="13">
        <v>0</v>
      </c>
      <c r="CM65" s="13">
        <v>4.6260000000000003</v>
      </c>
      <c r="CN65" s="13">
        <v>0</v>
      </c>
      <c r="CO65" s="13">
        <v>0</v>
      </c>
      <c r="CP65" s="13">
        <v>0</v>
      </c>
      <c r="CQ65" s="13">
        <v>6.7050000000000001</v>
      </c>
      <c r="CR65" s="10">
        <v>0</v>
      </c>
      <c r="CS65" s="10">
        <v>0</v>
      </c>
      <c r="CT65" s="10">
        <v>0</v>
      </c>
      <c r="CU65" s="10">
        <v>1.133</v>
      </c>
      <c r="CV65" s="10">
        <v>0</v>
      </c>
      <c r="CW65" s="10">
        <v>0</v>
      </c>
      <c r="CX65" s="10">
        <v>0.747</v>
      </c>
      <c r="CY65" s="10">
        <v>0</v>
      </c>
    </row>
    <row r="66" spans="1:103" x14ac:dyDescent="0.25">
      <c r="A66" s="5" t="s">
        <v>71</v>
      </c>
      <c r="B66" s="10">
        <v>14.599</v>
      </c>
      <c r="C66" s="10">
        <v>0</v>
      </c>
      <c r="D66" s="10">
        <v>0.72299999999999998</v>
      </c>
      <c r="E66" s="10">
        <v>0</v>
      </c>
      <c r="F66" s="10">
        <v>0</v>
      </c>
      <c r="G66" s="10">
        <v>0</v>
      </c>
      <c r="H66" s="10">
        <v>0</v>
      </c>
      <c r="I66" s="10">
        <v>14.81</v>
      </c>
      <c r="J66" s="10">
        <v>4.5540000000000003</v>
      </c>
      <c r="K66" s="10">
        <v>23.253</v>
      </c>
      <c r="L66" s="13">
        <v>8.9160000000000004</v>
      </c>
      <c r="M66" s="13">
        <v>0</v>
      </c>
      <c r="N66" s="13">
        <v>0.46</v>
      </c>
      <c r="O66" s="13">
        <v>0.27</v>
      </c>
      <c r="P66" s="13">
        <v>1.482</v>
      </c>
      <c r="Q66" s="13">
        <v>0</v>
      </c>
      <c r="R66" s="13">
        <v>0</v>
      </c>
      <c r="S66" s="13">
        <v>2.0990000000000002</v>
      </c>
      <c r="T66" s="13">
        <v>0</v>
      </c>
      <c r="U66" s="13">
        <v>1.18</v>
      </c>
      <c r="V66" s="13">
        <v>2.129</v>
      </c>
      <c r="W66" s="13">
        <v>0</v>
      </c>
      <c r="X66" s="13">
        <v>0</v>
      </c>
      <c r="Y66" s="13">
        <v>3.1709999999999998</v>
      </c>
      <c r="Z66" s="13">
        <v>6.2370000000000001</v>
      </c>
      <c r="AA66" s="13">
        <v>12.862</v>
      </c>
      <c r="AB66" s="13">
        <v>1.3280000000000001</v>
      </c>
      <c r="AC66" s="13">
        <v>22.908000000000001</v>
      </c>
      <c r="AD66" s="13">
        <v>38.524999999999999</v>
      </c>
      <c r="AE66" s="13">
        <v>0</v>
      </c>
      <c r="AF66" s="13">
        <v>0</v>
      </c>
      <c r="AG66" s="13">
        <v>0.72499999999999998</v>
      </c>
      <c r="AH66" s="13">
        <v>0</v>
      </c>
      <c r="AI66" s="13">
        <v>0</v>
      </c>
      <c r="AJ66" s="13">
        <v>0</v>
      </c>
      <c r="AK66" s="13">
        <v>0.40799999999999997</v>
      </c>
      <c r="AL66" s="13">
        <v>0</v>
      </c>
      <c r="AM66" s="13">
        <v>4.9960000000000004</v>
      </c>
      <c r="AN66" s="13">
        <v>0</v>
      </c>
      <c r="AO66" s="13">
        <v>1.6479999999999999</v>
      </c>
      <c r="AP66" s="13">
        <v>8.7200000000000006</v>
      </c>
      <c r="AQ66" s="10">
        <v>14.734999999999999</v>
      </c>
      <c r="AR66" s="10">
        <v>0</v>
      </c>
      <c r="AS66" s="10">
        <v>2.113</v>
      </c>
      <c r="AT66" s="10">
        <v>2.879</v>
      </c>
      <c r="AU66" s="10">
        <v>0</v>
      </c>
      <c r="AV66" s="10">
        <v>10.726000000000001</v>
      </c>
      <c r="AW66" s="10">
        <v>9.9000000000000005E-2</v>
      </c>
      <c r="AX66" s="10">
        <v>2.153</v>
      </c>
      <c r="AY66" s="10">
        <v>0</v>
      </c>
      <c r="AZ66" s="13">
        <v>1.1910000000000001</v>
      </c>
      <c r="BA66" s="13">
        <v>0</v>
      </c>
      <c r="BB66" s="13">
        <v>0</v>
      </c>
      <c r="BC66" s="13">
        <v>0.33300000000000002</v>
      </c>
      <c r="BD66" s="13">
        <v>0.57899999999999996</v>
      </c>
      <c r="BE66" s="13">
        <v>2.1059999999999999</v>
      </c>
      <c r="BF66" s="13">
        <v>2.3279999999999998</v>
      </c>
      <c r="BG66" s="13">
        <v>2.0110000000000001</v>
      </c>
      <c r="BH66" s="10">
        <v>8.1270000000000007</v>
      </c>
      <c r="BI66" s="10">
        <v>6.0330000000000004</v>
      </c>
      <c r="BJ66" s="10">
        <v>0</v>
      </c>
      <c r="BK66" s="13">
        <v>0</v>
      </c>
      <c r="BL66" s="13">
        <v>12.153</v>
      </c>
      <c r="BM66" s="13">
        <v>9.5340000000000007</v>
      </c>
      <c r="BN66" s="13">
        <v>10.417</v>
      </c>
      <c r="BO66" s="13">
        <v>15.933999999999999</v>
      </c>
      <c r="BP66" s="13">
        <v>22.437999999999999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1.472</v>
      </c>
      <c r="BW66" s="13">
        <v>1.159</v>
      </c>
      <c r="BX66" s="13">
        <v>0</v>
      </c>
      <c r="BY66" s="13">
        <v>19.991</v>
      </c>
      <c r="BZ66" s="13">
        <v>16.407</v>
      </c>
      <c r="CA66" s="13">
        <v>25.771999999999998</v>
      </c>
      <c r="CB66" s="13">
        <v>0.27800000000000002</v>
      </c>
      <c r="CC66" s="13">
        <v>0</v>
      </c>
      <c r="CD66" s="13">
        <v>1.8260000000000001</v>
      </c>
      <c r="CE66" s="13">
        <v>25.093</v>
      </c>
      <c r="CF66" s="13">
        <v>7.9340000000000002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3.94</v>
      </c>
      <c r="CM66" s="13">
        <v>0</v>
      </c>
      <c r="CN66" s="13">
        <v>19.863</v>
      </c>
      <c r="CO66" s="13">
        <v>0</v>
      </c>
      <c r="CP66" s="13">
        <v>0.61199999999999999</v>
      </c>
      <c r="CQ66" s="13">
        <v>6.7050000000000001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0.747</v>
      </c>
      <c r="CY66" s="10">
        <v>0.36499999999999999</v>
      </c>
    </row>
    <row r="67" spans="1:103" x14ac:dyDescent="0.25">
      <c r="A67" s="5" t="s">
        <v>70</v>
      </c>
      <c r="B67" s="10">
        <v>230.721</v>
      </c>
      <c r="C67" s="10">
        <v>1.671</v>
      </c>
      <c r="D67" s="10">
        <v>0.36199999999999999</v>
      </c>
      <c r="E67" s="10">
        <v>4.149</v>
      </c>
      <c r="F67" s="10">
        <v>0.84599999999999997</v>
      </c>
      <c r="G67" s="10">
        <v>0</v>
      </c>
      <c r="H67" s="10">
        <v>0</v>
      </c>
      <c r="I67" s="10">
        <v>0.376</v>
      </c>
      <c r="J67" s="10">
        <v>0</v>
      </c>
      <c r="K67" s="10">
        <v>0</v>
      </c>
      <c r="L67" s="13">
        <v>0</v>
      </c>
      <c r="M67" s="13">
        <v>4.4359999999999999</v>
      </c>
      <c r="N67" s="13">
        <v>0</v>
      </c>
      <c r="O67" s="13">
        <v>0</v>
      </c>
      <c r="P67" s="13">
        <v>3.7320000000000002</v>
      </c>
      <c r="Q67" s="13">
        <v>0</v>
      </c>
      <c r="R67" s="13">
        <v>0</v>
      </c>
      <c r="S67" s="13">
        <v>1.4</v>
      </c>
      <c r="T67" s="13">
        <v>4.1779999999999999</v>
      </c>
      <c r="U67" s="13">
        <v>0</v>
      </c>
      <c r="V67" s="13">
        <v>3.548</v>
      </c>
      <c r="W67" s="13">
        <v>0</v>
      </c>
      <c r="X67" s="13">
        <v>0</v>
      </c>
      <c r="Y67" s="13">
        <v>3.141</v>
      </c>
      <c r="Z67" s="13">
        <v>0</v>
      </c>
      <c r="AA67" s="13">
        <v>5.7839999999999998</v>
      </c>
      <c r="AB67" s="13">
        <v>0</v>
      </c>
      <c r="AC67" s="13">
        <v>8.7650000000000006</v>
      </c>
      <c r="AD67" s="13">
        <v>14.215999999999999</v>
      </c>
      <c r="AE67" s="13">
        <v>0</v>
      </c>
      <c r="AF67" s="13">
        <v>6.1239999999999997</v>
      </c>
      <c r="AG67" s="13">
        <v>1.8140000000000001</v>
      </c>
      <c r="AH67" s="13">
        <v>3.464</v>
      </c>
      <c r="AI67" s="13">
        <v>2.3530000000000002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16.233000000000001</v>
      </c>
      <c r="AQ67" s="10">
        <v>16.288</v>
      </c>
      <c r="AR67" s="10">
        <v>0</v>
      </c>
      <c r="AS67" s="10">
        <v>2.113</v>
      </c>
      <c r="AT67" s="10">
        <v>2.879</v>
      </c>
      <c r="AU67" s="10">
        <v>0</v>
      </c>
      <c r="AV67" s="10">
        <v>5.6820000000000004</v>
      </c>
      <c r="AW67" s="10">
        <v>0</v>
      </c>
      <c r="AX67" s="10">
        <v>0</v>
      </c>
      <c r="AY67" s="10">
        <v>0</v>
      </c>
      <c r="AZ67" s="13">
        <v>0</v>
      </c>
      <c r="BA67" s="13">
        <v>2.1150000000000002</v>
      </c>
      <c r="BB67" s="13">
        <v>0</v>
      </c>
      <c r="BC67" s="13">
        <v>0</v>
      </c>
      <c r="BD67" s="13">
        <v>0.57899999999999996</v>
      </c>
      <c r="BE67" s="13">
        <v>1.054</v>
      </c>
      <c r="BF67" s="13">
        <v>1.0089999999999999</v>
      </c>
      <c r="BG67" s="13">
        <v>0</v>
      </c>
      <c r="BH67" s="10">
        <v>2.0299999999999998</v>
      </c>
      <c r="BI67" s="10">
        <v>1.611</v>
      </c>
      <c r="BJ67" s="10">
        <v>2.0569999999999999</v>
      </c>
      <c r="BK67" s="13">
        <v>17.239999999999998</v>
      </c>
      <c r="BL67" s="13">
        <v>0</v>
      </c>
      <c r="BM67" s="13">
        <v>1.351</v>
      </c>
      <c r="BN67" s="13">
        <v>2.7879999999999998</v>
      </c>
      <c r="BO67" s="13">
        <v>0</v>
      </c>
      <c r="BP67" s="13">
        <v>22.815000000000001</v>
      </c>
      <c r="BQ67" s="10">
        <v>0.67700000000000005</v>
      </c>
      <c r="BR67" s="10">
        <v>0</v>
      </c>
      <c r="BS67" s="10">
        <v>4.6459999999999999</v>
      </c>
      <c r="BT67" s="10">
        <v>1.601</v>
      </c>
      <c r="BU67" s="10">
        <v>2.0230000000000001</v>
      </c>
      <c r="BV67" s="10">
        <v>4.4169999999999998</v>
      </c>
      <c r="BW67" s="13">
        <v>0.51100000000000001</v>
      </c>
      <c r="BX67" s="13">
        <v>0</v>
      </c>
      <c r="BY67" s="13">
        <v>10.555999999999999</v>
      </c>
      <c r="BZ67" s="13">
        <v>15.872999999999999</v>
      </c>
      <c r="CA67" s="13">
        <v>23.52</v>
      </c>
      <c r="CB67" s="13">
        <v>10.991</v>
      </c>
      <c r="CC67" s="13">
        <v>15.289</v>
      </c>
      <c r="CD67" s="13">
        <v>5.0960000000000001</v>
      </c>
      <c r="CE67" s="13">
        <v>0</v>
      </c>
      <c r="CF67" s="13">
        <v>34.606999999999999</v>
      </c>
      <c r="CG67" s="13">
        <v>6.1559999999999997</v>
      </c>
      <c r="CH67" s="13">
        <v>4.1509999999999998</v>
      </c>
      <c r="CI67" s="13">
        <v>0</v>
      </c>
      <c r="CJ67" s="13">
        <v>26.709</v>
      </c>
      <c r="CK67" s="13">
        <v>0</v>
      </c>
      <c r="CL67" s="13">
        <v>0</v>
      </c>
      <c r="CM67" s="13">
        <v>4.726</v>
      </c>
      <c r="CN67" s="13">
        <v>25.864999999999998</v>
      </c>
      <c r="CO67" s="13">
        <v>7.1870000000000003</v>
      </c>
      <c r="CP67" s="13">
        <v>0</v>
      </c>
      <c r="CQ67" s="13">
        <v>6.7050000000000001</v>
      </c>
      <c r="CR67" s="10">
        <v>1.2270000000000001</v>
      </c>
      <c r="CS67" s="10">
        <v>0</v>
      </c>
      <c r="CT67" s="10">
        <v>0</v>
      </c>
      <c r="CU67" s="10">
        <v>0.75700000000000001</v>
      </c>
      <c r="CV67" s="10">
        <v>0</v>
      </c>
      <c r="CW67" s="10">
        <v>0</v>
      </c>
      <c r="CX67" s="10">
        <v>0</v>
      </c>
      <c r="CY67" s="10">
        <v>0</v>
      </c>
    </row>
    <row r="68" spans="1:103" x14ac:dyDescent="0.25">
      <c r="A68" s="5" t="s">
        <v>69</v>
      </c>
      <c r="B68" s="10">
        <v>28.57</v>
      </c>
      <c r="C68" s="10">
        <v>2.923</v>
      </c>
      <c r="D68" s="10">
        <v>0</v>
      </c>
      <c r="E68" s="10">
        <v>2.0739999999999998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18.61</v>
      </c>
      <c r="L68" s="13">
        <v>4.4359999999999999</v>
      </c>
      <c r="M68" s="13">
        <v>0</v>
      </c>
      <c r="N68" s="13">
        <v>0.52800000000000002</v>
      </c>
      <c r="O68" s="13">
        <v>0</v>
      </c>
      <c r="P68" s="13">
        <v>3.97</v>
      </c>
      <c r="Q68" s="13">
        <v>4.048</v>
      </c>
      <c r="R68" s="13">
        <v>0</v>
      </c>
      <c r="S68" s="13">
        <v>0.7</v>
      </c>
      <c r="T68" s="13">
        <v>0</v>
      </c>
      <c r="U68" s="13">
        <v>2.3610000000000002</v>
      </c>
      <c r="V68" s="13">
        <v>2.129</v>
      </c>
      <c r="W68" s="13">
        <v>0</v>
      </c>
      <c r="X68" s="13">
        <v>0</v>
      </c>
      <c r="Y68" s="13">
        <v>1.571</v>
      </c>
      <c r="Z68" s="13">
        <v>0</v>
      </c>
      <c r="AA68" s="13">
        <v>0</v>
      </c>
      <c r="AB68" s="13">
        <v>0</v>
      </c>
      <c r="AC68" s="13">
        <v>0</v>
      </c>
      <c r="AD68" s="13">
        <v>19.872</v>
      </c>
      <c r="AE68" s="13">
        <v>0</v>
      </c>
      <c r="AF68" s="13">
        <v>0.86199999999999999</v>
      </c>
      <c r="AG68" s="13">
        <v>0</v>
      </c>
      <c r="AH68" s="13">
        <v>3.464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23.251000000000001</v>
      </c>
      <c r="AP68" s="13">
        <v>24.518000000000001</v>
      </c>
      <c r="AQ68" s="10">
        <v>40.33</v>
      </c>
      <c r="AR68" s="10">
        <v>0</v>
      </c>
      <c r="AS68" s="10">
        <v>2.113</v>
      </c>
      <c r="AT68" s="10">
        <v>0</v>
      </c>
      <c r="AU68" s="10">
        <v>4.3479999999999999</v>
      </c>
      <c r="AV68" s="10">
        <v>2.16</v>
      </c>
      <c r="AW68" s="10">
        <v>0</v>
      </c>
      <c r="AX68" s="10">
        <v>0</v>
      </c>
      <c r="AY68" s="10">
        <v>0</v>
      </c>
      <c r="AZ68" s="13">
        <v>0.19800000000000001</v>
      </c>
      <c r="BA68" s="13">
        <v>3.1349999999999998</v>
      </c>
      <c r="BB68" s="13">
        <v>2.5190000000000001</v>
      </c>
      <c r="BC68" s="13">
        <v>1.095</v>
      </c>
      <c r="BD68" s="13">
        <v>0.57899999999999996</v>
      </c>
      <c r="BE68" s="13">
        <v>0</v>
      </c>
      <c r="BF68" s="13">
        <v>3.0259999999999998</v>
      </c>
      <c r="BG68" s="13">
        <v>0</v>
      </c>
      <c r="BH68" s="10">
        <v>8.4890000000000008</v>
      </c>
      <c r="BI68" s="10">
        <v>1.28</v>
      </c>
      <c r="BJ68" s="10">
        <v>4.1130000000000004</v>
      </c>
      <c r="BK68" s="13">
        <v>4.3339999999999996</v>
      </c>
      <c r="BL68" s="13">
        <v>0</v>
      </c>
      <c r="BM68" s="13">
        <v>18.504000000000001</v>
      </c>
      <c r="BN68" s="13">
        <v>9.8149999999999995</v>
      </c>
      <c r="BO68" s="13">
        <v>21.800999999999998</v>
      </c>
      <c r="BP68" s="13">
        <v>22.815000000000001</v>
      </c>
      <c r="BQ68" s="10">
        <v>0.33800000000000002</v>
      </c>
      <c r="BR68" s="10">
        <v>4.0380000000000003</v>
      </c>
      <c r="BS68" s="10">
        <v>0</v>
      </c>
      <c r="BT68" s="10">
        <v>1.601</v>
      </c>
      <c r="BU68" s="10">
        <v>4.1959999999999997</v>
      </c>
      <c r="BV68" s="10">
        <v>2.944</v>
      </c>
      <c r="BW68" s="13">
        <v>0.51100000000000001</v>
      </c>
      <c r="BX68" s="13">
        <v>0</v>
      </c>
      <c r="BY68" s="13">
        <v>0</v>
      </c>
      <c r="BZ68" s="13">
        <v>4.9980000000000002</v>
      </c>
      <c r="CA68" s="13">
        <v>8.1839999999999993</v>
      </c>
      <c r="CB68" s="13">
        <v>0</v>
      </c>
      <c r="CC68" s="13">
        <v>10.23</v>
      </c>
      <c r="CD68" s="13">
        <v>23.024000000000001</v>
      </c>
      <c r="CE68" s="13">
        <v>42.991999999999997</v>
      </c>
      <c r="CF68" s="13">
        <v>9.9860000000000007</v>
      </c>
      <c r="CG68" s="13">
        <v>0</v>
      </c>
      <c r="CH68" s="13">
        <v>3.5059999999999998</v>
      </c>
      <c r="CI68" s="13">
        <v>0</v>
      </c>
      <c r="CJ68" s="13">
        <v>2.5720000000000001</v>
      </c>
      <c r="CK68" s="13">
        <v>0</v>
      </c>
      <c r="CL68" s="13">
        <v>0.156</v>
      </c>
      <c r="CM68" s="13">
        <v>7.0490000000000004</v>
      </c>
      <c r="CN68" s="13">
        <v>7.6989999999999998</v>
      </c>
      <c r="CO68" s="13">
        <v>2.5979999999999999</v>
      </c>
      <c r="CP68" s="13">
        <v>0.7</v>
      </c>
      <c r="CQ68" s="13">
        <v>1.4890000000000001</v>
      </c>
      <c r="CR68" s="10">
        <v>0</v>
      </c>
      <c r="CS68" s="10">
        <v>0</v>
      </c>
      <c r="CT68" s="10">
        <v>0</v>
      </c>
      <c r="CU68" s="10">
        <v>0.75700000000000001</v>
      </c>
      <c r="CV68" s="10">
        <v>0</v>
      </c>
      <c r="CW68" s="10">
        <v>0</v>
      </c>
      <c r="CX68" s="10">
        <v>0.747</v>
      </c>
      <c r="CY68" s="10">
        <v>0</v>
      </c>
    </row>
    <row r="69" spans="1:103" x14ac:dyDescent="0.25">
      <c r="A69" s="5" t="s">
        <v>68</v>
      </c>
      <c r="B69" s="10">
        <v>6.415</v>
      </c>
      <c r="C69" s="10">
        <v>1.4810000000000001</v>
      </c>
      <c r="D69" s="10">
        <v>1.7569999999999999</v>
      </c>
      <c r="E69" s="10">
        <v>5.1230000000000002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3">
        <v>0</v>
      </c>
      <c r="M69" s="13">
        <v>0.94099999999999995</v>
      </c>
      <c r="N69" s="13">
        <v>0.52800000000000002</v>
      </c>
      <c r="O69" s="13">
        <v>0</v>
      </c>
      <c r="P69" s="13">
        <v>1.244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2.129</v>
      </c>
      <c r="W69" s="13">
        <v>0</v>
      </c>
      <c r="X69" s="13">
        <v>0</v>
      </c>
      <c r="Y69" s="13">
        <v>4.7119999999999997</v>
      </c>
      <c r="Z69" s="13">
        <v>0</v>
      </c>
      <c r="AA69" s="13">
        <v>0</v>
      </c>
      <c r="AB69" s="13">
        <v>0</v>
      </c>
      <c r="AC69" s="13">
        <v>4.0730000000000004</v>
      </c>
      <c r="AD69" s="13">
        <v>11.712999999999999</v>
      </c>
      <c r="AE69" s="13">
        <v>0</v>
      </c>
      <c r="AF69" s="13">
        <v>0</v>
      </c>
      <c r="AG69" s="13">
        <v>0.36299999999999999</v>
      </c>
      <c r="AH69" s="13">
        <v>3.464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3.875</v>
      </c>
      <c r="AP69" s="13">
        <v>0</v>
      </c>
      <c r="AQ69" s="10">
        <v>0.04</v>
      </c>
      <c r="AR69" s="10">
        <v>0</v>
      </c>
      <c r="AS69" s="10">
        <v>8.4510000000000005</v>
      </c>
      <c r="AT69" s="10">
        <v>0</v>
      </c>
      <c r="AU69" s="10">
        <v>3.504</v>
      </c>
      <c r="AV69" s="10">
        <v>13.301</v>
      </c>
      <c r="AW69" s="10">
        <v>0</v>
      </c>
      <c r="AX69" s="10">
        <v>4.306</v>
      </c>
      <c r="AY69" s="10">
        <v>9.782</v>
      </c>
      <c r="AZ69" s="13">
        <v>0</v>
      </c>
      <c r="BA69" s="13">
        <v>0</v>
      </c>
      <c r="BB69" s="13">
        <v>3.823</v>
      </c>
      <c r="BC69" s="13">
        <v>1.095</v>
      </c>
      <c r="BD69" s="13">
        <v>1.157</v>
      </c>
      <c r="BE69" s="13">
        <v>0</v>
      </c>
      <c r="BF69" s="13">
        <v>3.0259999999999998</v>
      </c>
      <c r="BG69" s="13">
        <v>0</v>
      </c>
      <c r="BH69" s="10">
        <v>6.3659999999999997</v>
      </c>
      <c r="BI69" s="10">
        <v>3.11</v>
      </c>
      <c r="BJ69" s="10">
        <v>0</v>
      </c>
      <c r="BK69" s="13">
        <v>8.17</v>
      </c>
      <c r="BL69" s="13">
        <v>0</v>
      </c>
      <c r="BM69" s="13">
        <v>25.329000000000001</v>
      </c>
      <c r="BN69" s="13">
        <v>11.217000000000001</v>
      </c>
      <c r="BO69" s="13">
        <v>0</v>
      </c>
      <c r="BP69" s="13">
        <v>12.736000000000001</v>
      </c>
      <c r="BQ69" s="10">
        <v>1.077</v>
      </c>
      <c r="BR69" s="10">
        <v>0</v>
      </c>
      <c r="BS69" s="10">
        <v>1.8740000000000001</v>
      </c>
      <c r="BT69" s="10">
        <v>0</v>
      </c>
      <c r="BU69" s="10">
        <v>0</v>
      </c>
      <c r="BV69" s="10">
        <v>5.8890000000000002</v>
      </c>
      <c r="BW69" s="13">
        <v>0</v>
      </c>
      <c r="BX69" s="13">
        <v>0</v>
      </c>
      <c r="BY69" s="13">
        <v>1.1819999999999999</v>
      </c>
      <c r="BZ69" s="13">
        <v>0</v>
      </c>
      <c r="CA69" s="13">
        <v>9.7810000000000006</v>
      </c>
      <c r="CB69" s="13">
        <v>0</v>
      </c>
      <c r="CC69" s="13">
        <v>8.2889999999999997</v>
      </c>
      <c r="CD69" s="13">
        <v>33.917999999999999</v>
      </c>
      <c r="CE69" s="13">
        <v>18.347000000000001</v>
      </c>
      <c r="CF69" s="13">
        <v>0</v>
      </c>
      <c r="CG69" s="13">
        <v>0</v>
      </c>
      <c r="CH69" s="13">
        <v>2.7669999999999999</v>
      </c>
      <c r="CI69" s="13">
        <v>0</v>
      </c>
      <c r="CJ69" s="13">
        <v>0</v>
      </c>
      <c r="CK69" s="13">
        <v>1.3720000000000001</v>
      </c>
      <c r="CL69" s="13">
        <v>0.17799999999999999</v>
      </c>
      <c r="CM69" s="13">
        <v>0</v>
      </c>
      <c r="CN69" s="13">
        <v>0</v>
      </c>
      <c r="CO69" s="13">
        <v>1.9790000000000001</v>
      </c>
      <c r="CP69" s="13">
        <v>0.61199999999999999</v>
      </c>
      <c r="CQ69" s="13">
        <v>8.673</v>
      </c>
      <c r="CR69" s="10">
        <v>0</v>
      </c>
      <c r="CS69" s="10">
        <v>0</v>
      </c>
      <c r="CT69" s="10">
        <v>0</v>
      </c>
      <c r="CU69" s="10">
        <v>0</v>
      </c>
      <c r="CV69" s="10">
        <v>45.747999999999998</v>
      </c>
      <c r="CW69" s="10">
        <v>0</v>
      </c>
      <c r="CX69" s="10">
        <v>0.747</v>
      </c>
      <c r="CY69" s="10">
        <v>0</v>
      </c>
    </row>
    <row r="70" spans="1:103" x14ac:dyDescent="0.25">
      <c r="A70" s="5" t="s">
        <v>67</v>
      </c>
      <c r="B70" s="10">
        <v>2.4260000000000002</v>
      </c>
      <c r="C70" s="10">
        <v>0.76400000000000001</v>
      </c>
      <c r="D70" s="10">
        <v>0</v>
      </c>
      <c r="E70" s="10">
        <v>2.5619999999999998</v>
      </c>
      <c r="F70" s="10">
        <v>0</v>
      </c>
      <c r="G70" s="10">
        <v>31.873999999999999</v>
      </c>
      <c r="H70" s="10">
        <v>0</v>
      </c>
      <c r="I70" s="10">
        <v>0</v>
      </c>
      <c r="J70" s="10">
        <v>0</v>
      </c>
      <c r="K70" s="10">
        <v>17.291</v>
      </c>
      <c r="L70" s="13">
        <v>0.94099999999999995</v>
      </c>
      <c r="M70" s="13">
        <v>1.7509999999999999</v>
      </c>
      <c r="N70" s="13">
        <v>0</v>
      </c>
      <c r="O70" s="13">
        <v>7.4999999999999997E-2</v>
      </c>
      <c r="P70" s="13">
        <v>1.236</v>
      </c>
      <c r="Q70" s="13">
        <v>4.8529999999999998</v>
      </c>
      <c r="R70" s="13">
        <v>0</v>
      </c>
      <c r="S70" s="13">
        <v>2.0990000000000002</v>
      </c>
      <c r="T70" s="13">
        <v>2.7429999999999999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4.6020000000000003</v>
      </c>
      <c r="AD70" s="13">
        <v>32.332999999999998</v>
      </c>
      <c r="AE70" s="13">
        <v>0.72499999999999998</v>
      </c>
      <c r="AF70" s="13">
        <v>0</v>
      </c>
      <c r="AG70" s="13">
        <v>0.72499999999999998</v>
      </c>
      <c r="AH70" s="13">
        <v>4.03</v>
      </c>
      <c r="AI70" s="13">
        <v>5.4269999999999996</v>
      </c>
      <c r="AJ70" s="13">
        <v>2.1480000000000001</v>
      </c>
      <c r="AK70" s="13">
        <v>0</v>
      </c>
      <c r="AL70" s="13">
        <v>0</v>
      </c>
      <c r="AM70" s="13">
        <v>0</v>
      </c>
      <c r="AN70" s="13">
        <v>0</v>
      </c>
      <c r="AO70" s="13">
        <v>3.1190000000000002</v>
      </c>
      <c r="AP70" s="13">
        <v>0</v>
      </c>
      <c r="AQ70" s="10">
        <v>0</v>
      </c>
      <c r="AR70" s="10">
        <v>0</v>
      </c>
      <c r="AS70" s="10">
        <v>2.113</v>
      </c>
      <c r="AT70" s="10">
        <v>0</v>
      </c>
      <c r="AU70" s="10">
        <v>5.5</v>
      </c>
      <c r="AV70" s="10">
        <v>5.5709999999999997</v>
      </c>
      <c r="AW70" s="10">
        <v>0</v>
      </c>
      <c r="AX70" s="10">
        <v>2.153</v>
      </c>
      <c r="AY70" s="10">
        <v>0</v>
      </c>
      <c r="AZ70" s="13">
        <v>0.55700000000000005</v>
      </c>
      <c r="BA70" s="13">
        <v>0</v>
      </c>
      <c r="BB70" s="13">
        <v>0</v>
      </c>
      <c r="BC70" s="13">
        <v>0.54800000000000004</v>
      </c>
      <c r="BD70" s="13">
        <v>0</v>
      </c>
      <c r="BE70" s="13">
        <v>1.7649999999999999</v>
      </c>
      <c r="BF70" s="13">
        <v>0</v>
      </c>
      <c r="BG70" s="13">
        <v>5.4809999999999999</v>
      </c>
      <c r="BH70" s="10">
        <v>0</v>
      </c>
      <c r="BI70" s="10">
        <v>1.5549999999999999</v>
      </c>
      <c r="BJ70" s="10">
        <v>0</v>
      </c>
      <c r="BK70" s="13">
        <v>8.17</v>
      </c>
      <c r="BL70" s="13">
        <v>3.5329999999999999</v>
      </c>
      <c r="BM70" s="13">
        <v>22.163</v>
      </c>
      <c r="BN70" s="13">
        <v>8.4369999999999994</v>
      </c>
      <c r="BO70" s="13">
        <v>13.35</v>
      </c>
      <c r="BP70" s="13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2.3340000000000001</v>
      </c>
      <c r="BV70" s="10">
        <v>0</v>
      </c>
      <c r="BW70" s="13">
        <v>0.51100000000000001</v>
      </c>
      <c r="BX70" s="13">
        <v>0</v>
      </c>
      <c r="BY70" s="13">
        <v>0</v>
      </c>
      <c r="BZ70" s="13">
        <v>0</v>
      </c>
      <c r="CA70" s="13">
        <v>20.718</v>
      </c>
      <c r="CB70" s="13">
        <v>3.6989999999999998</v>
      </c>
      <c r="CC70" s="13">
        <v>35.673000000000002</v>
      </c>
      <c r="CD70" s="13">
        <v>17.245000000000001</v>
      </c>
      <c r="CE70" s="13">
        <v>0</v>
      </c>
      <c r="CF70" s="13">
        <v>29.11</v>
      </c>
      <c r="CG70" s="13">
        <v>5.1479999999999997</v>
      </c>
      <c r="CH70" s="13">
        <v>0.85899999999999999</v>
      </c>
      <c r="CI70" s="13">
        <v>0</v>
      </c>
      <c r="CJ70" s="13">
        <v>17.545999999999999</v>
      </c>
      <c r="CK70" s="13">
        <v>2.09</v>
      </c>
      <c r="CL70" s="13">
        <v>8.5960000000000001</v>
      </c>
      <c r="CM70" s="13">
        <v>3.5249999999999999</v>
      </c>
      <c r="CN70" s="13">
        <v>3.85</v>
      </c>
      <c r="CO70" s="13">
        <v>0</v>
      </c>
      <c r="CP70" s="13">
        <v>0</v>
      </c>
      <c r="CQ70" s="13">
        <v>10.222</v>
      </c>
      <c r="CR70" s="10">
        <v>0</v>
      </c>
      <c r="CS70" s="10">
        <v>0</v>
      </c>
      <c r="CT70" s="10">
        <v>0</v>
      </c>
      <c r="CU70" s="10">
        <v>0</v>
      </c>
      <c r="CV70" s="10">
        <v>0</v>
      </c>
      <c r="CW70" s="10">
        <v>0</v>
      </c>
      <c r="CX70" s="10">
        <v>1.0760000000000001</v>
      </c>
      <c r="CY70" s="10">
        <v>0</v>
      </c>
    </row>
    <row r="71" spans="1:103" x14ac:dyDescent="0.25">
      <c r="A71" s="5" t="s">
        <v>66</v>
      </c>
      <c r="B71" s="10">
        <v>35.701999999999998</v>
      </c>
      <c r="C71" s="10">
        <v>0.217</v>
      </c>
      <c r="D71" s="10">
        <v>0</v>
      </c>
      <c r="E71" s="10">
        <v>0</v>
      </c>
      <c r="F71" s="10">
        <v>0</v>
      </c>
      <c r="G71" s="10">
        <v>21.113</v>
      </c>
      <c r="H71" s="10">
        <v>0</v>
      </c>
      <c r="I71" s="10">
        <v>0</v>
      </c>
      <c r="J71" s="10">
        <v>4.6589999999999998</v>
      </c>
      <c r="K71" s="10">
        <v>0</v>
      </c>
      <c r="L71" s="13">
        <v>1.7509999999999999</v>
      </c>
      <c r="M71" s="13">
        <v>0.13</v>
      </c>
      <c r="N71" s="13">
        <v>0</v>
      </c>
      <c r="O71" s="13">
        <v>7.4999999999999997E-2</v>
      </c>
      <c r="P71" s="13">
        <v>0</v>
      </c>
      <c r="Q71" s="13">
        <v>0</v>
      </c>
      <c r="R71" s="13">
        <v>0.70299999999999996</v>
      </c>
      <c r="S71" s="13">
        <v>1.6950000000000001</v>
      </c>
      <c r="T71" s="13">
        <v>2</v>
      </c>
      <c r="U71" s="13">
        <v>1.345</v>
      </c>
      <c r="V71" s="13">
        <v>0</v>
      </c>
      <c r="W71" s="13">
        <v>0</v>
      </c>
      <c r="X71" s="13">
        <v>0.112</v>
      </c>
      <c r="Y71" s="13">
        <v>0.54800000000000004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0.72499999999999998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2.1480000000000001</v>
      </c>
      <c r="AL71" s="13">
        <v>0</v>
      </c>
      <c r="AM71" s="13">
        <v>24.765999999999998</v>
      </c>
      <c r="AN71" s="13">
        <v>0</v>
      </c>
      <c r="AO71" s="13">
        <v>2.4620000000000002</v>
      </c>
      <c r="AP71" s="13">
        <v>14.545999999999999</v>
      </c>
      <c r="AQ71" s="10">
        <v>8.298</v>
      </c>
      <c r="AR71" s="10">
        <v>0</v>
      </c>
      <c r="AS71" s="10">
        <v>4.5019999999999998</v>
      </c>
      <c r="AT71" s="10">
        <v>0</v>
      </c>
      <c r="AU71" s="10">
        <v>4.8819999999999997</v>
      </c>
      <c r="AV71" s="10">
        <v>3.41</v>
      </c>
      <c r="AW71" s="10">
        <v>0</v>
      </c>
      <c r="AX71" s="10">
        <v>0</v>
      </c>
      <c r="AY71" s="10">
        <v>2.722</v>
      </c>
      <c r="AZ71" s="13">
        <v>1.115</v>
      </c>
      <c r="BA71" s="13">
        <v>0</v>
      </c>
      <c r="BB71" s="13">
        <v>0</v>
      </c>
      <c r="BC71" s="13">
        <v>0</v>
      </c>
      <c r="BD71" s="13">
        <v>0</v>
      </c>
      <c r="BE71" s="13">
        <v>1.7929999999999999</v>
      </c>
      <c r="BF71" s="13">
        <v>3.0259999999999998</v>
      </c>
      <c r="BG71" s="13">
        <v>2.2669999999999999</v>
      </c>
      <c r="BH71" s="10">
        <v>2.8010000000000002</v>
      </c>
      <c r="BI71" s="10">
        <v>0</v>
      </c>
      <c r="BJ71" s="10">
        <v>4.0960000000000001</v>
      </c>
      <c r="BK71" s="13">
        <v>0</v>
      </c>
      <c r="BL71" s="13">
        <v>0</v>
      </c>
      <c r="BM71" s="13">
        <v>24.402000000000001</v>
      </c>
      <c r="BN71" s="13">
        <v>0</v>
      </c>
      <c r="BO71" s="13">
        <v>7.6289999999999996</v>
      </c>
      <c r="BP71" s="13">
        <v>0</v>
      </c>
      <c r="BQ71" s="10">
        <v>0</v>
      </c>
      <c r="BR71" s="10">
        <v>0</v>
      </c>
      <c r="BS71" s="10">
        <v>0</v>
      </c>
      <c r="BT71" s="10">
        <v>1.131</v>
      </c>
      <c r="BU71" s="10">
        <v>0.90700000000000003</v>
      </c>
      <c r="BV71" s="10">
        <v>5.6310000000000002</v>
      </c>
      <c r="BW71" s="13">
        <v>0</v>
      </c>
      <c r="BX71" s="13">
        <v>0</v>
      </c>
      <c r="BY71" s="13">
        <v>0</v>
      </c>
      <c r="BZ71" s="13">
        <v>1.4279999999999999</v>
      </c>
      <c r="CA71" s="13">
        <v>23.695</v>
      </c>
      <c r="CB71" s="13">
        <v>0</v>
      </c>
      <c r="CC71" s="13">
        <v>0</v>
      </c>
      <c r="CD71" s="13">
        <v>0</v>
      </c>
      <c r="CE71" s="13">
        <v>15.803000000000001</v>
      </c>
      <c r="CF71" s="13">
        <v>28.492999999999999</v>
      </c>
      <c r="CG71" s="13">
        <v>5.577</v>
      </c>
      <c r="CH71" s="13">
        <v>0</v>
      </c>
      <c r="CI71" s="13">
        <v>2.923</v>
      </c>
      <c r="CJ71" s="13">
        <v>0</v>
      </c>
      <c r="CK71" s="13">
        <v>0</v>
      </c>
      <c r="CL71" s="13">
        <v>2.782</v>
      </c>
      <c r="CM71" s="13">
        <v>2.7090000000000001</v>
      </c>
      <c r="CN71" s="13">
        <v>7.6989999999999998</v>
      </c>
      <c r="CO71" s="13">
        <v>0</v>
      </c>
      <c r="CP71" s="13">
        <v>6.0110000000000001</v>
      </c>
      <c r="CQ71" s="13">
        <v>13.297000000000001</v>
      </c>
      <c r="CR71" s="10">
        <v>20.870999999999999</v>
      </c>
      <c r="CS71" s="10">
        <v>1.728</v>
      </c>
      <c r="CT71" s="10">
        <v>3.99</v>
      </c>
      <c r="CU71" s="10">
        <v>0</v>
      </c>
      <c r="CV71" s="10">
        <v>0</v>
      </c>
      <c r="CW71" s="10">
        <v>0</v>
      </c>
      <c r="CX71" s="10">
        <v>1.0760000000000001</v>
      </c>
      <c r="CY71" s="10">
        <v>0</v>
      </c>
    </row>
    <row r="72" spans="1:103" x14ac:dyDescent="0.25">
      <c r="A72" s="5" t="s">
        <v>65</v>
      </c>
      <c r="B72" s="10">
        <v>2.7519999999999998</v>
      </c>
      <c r="C72" s="10">
        <v>1.617</v>
      </c>
      <c r="D72" s="10">
        <v>0.35099999999999998</v>
      </c>
      <c r="E72" s="10">
        <v>2.5619999999999998</v>
      </c>
      <c r="F72" s="10">
        <v>0</v>
      </c>
      <c r="G72" s="10">
        <v>9.984</v>
      </c>
      <c r="H72" s="10">
        <v>0</v>
      </c>
      <c r="I72" s="10">
        <v>0</v>
      </c>
      <c r="J72" s="10">
        <v>0</v>
      </c>
      <c r="K72" s="10">
        <v>0</v>
      </c>
      <c r="L72" s="13">
        <v>0.13</v>
      </c>
      <c r="M72" s="13">
        <v>1.847</v>
      </c>
      <c r="N72" s="13">
        <v>0</v>
      </c>
      <c r="O72" s="13">
        <v>0</v>
      </c>
      <c r="P72" s="13">
        <v>2.6230000000000002</v>
      </c>
      <c r="Q72" s="13">
        <v>4.8529999999999998</v>
      </c>
      <c r="R72" s="13">
        <v>0</v>
      </c>
      <c r="S72" s="13">
        <v>1.1299999999999999</v>
      </c>
      <c r="T72" s="13">
        <v>1</v>
      </c>
      <c r="U72" s="13">
        <v>0</v>
      </c>
      <c r="V72" s="13">
        <v>2.677</v>
      </c>
      <c r="W72" s="13">
        <v>0</v>
      </c>
      <c r="X72" s="13">
        <v>0.54300000000000004</v>
      </c>
      <c r="Y72" s="13">
        <v>0</v>
      </c>
      <c r="Z72" s="13">
        <v>0</v>
      </c>
      <c r="AA72" s="13">
        <v>0.94099999999999995</v>
      </c>
      <c r="AB72" s="13">
        <v>0</v>
      </c>
      <c r="AC72" s="13">
        <v>0.127</v>
      </c>
      <c r="AD72" s="13">
        <v>0</v>
      </c>
      <c r="AE72" s="13">
        <v>0</v>
      </c>
      <c r="AF72" s="13">
        <v>0</v>
      </c>
      <c r="AG72" s="13">
        <v>0</v>
      </c>
      <c r="AH72" s="13">
        <v>3.464</v>
      </c>
      <c r="AI72" s="13">
        <v>0.72299999999999998</v>
      </c>
      <c r="AJ72" s="13">
        <v>4.9870000000000001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9.6969999999999992</v>
      </c>
      <c r="AQ72" s="10">
        <v>0</v>
      </c>
      <c r="AR72" s="10">
        <v>0</v>
      </c>
      <c r="AS72" s="10">
        <v>4.5019999999999998</v>
      </c>
      <c r="AT72" s="10">
        <v>0</v>
      </c>
      <c r="AU72" s="10">
        <v>4.2930000000000001</v>
      </c>
      <c r="AV72" s="10">
        <v>0</v>
      </c>
      <c r="AW72" s="10">
        <v>0.40899999999999997</v>
      </c>
      <c r="AX72" s="10">
        <v>0</v>
      </c>
      <c r="AY72" s="10">
        <v>0</v>
      </c>
      <c r="AZ72" s="13">
        <v>0.55700000000000005</v>
      </c>
      <c r="BA72" s="13">
        <v>0</v>
      </c>
      <c r="BB72" s="13">
        <v>0</v>
      </c>
      <c r="BC72" s="13">
        <v>0</v>
      </c>
      <c r="BD72" s="13">
        <v>0.34699999999999998</v>
      </c>
      <c r="BE72" s="13">
        <v>1.254</v>
      </c>
      <c r="BF72" s="13">
        <v>0</v>
      </c>
      <c r="BG72" s="13">
        <v>3.9020000000000001</v>
      </c>
      <c r="BH72" s="10">
        <v>3.7989999999999999</v>
      </c>
      <c r="BI72" s="10">
        <v>0.27500000000000002</v>
      </c>
      <c r="BJ72" s="10">
        <v>0</v>
      </c>
      <c r="BK72" s="13">
        <v>0</v>
      </c>
      <c r="BL72" s="13">
        <v>6.0460000000000003</v>
      </c>
      <c r="BM72" s="13">
        <v>43.651000000000003</v>
      </c>
      <c r="BN72" s="13">
        <v>0</v>
      </c>
      <c r="BO72" s="13">
        <v>26.7</v>
      </c>
      <c r="BP72" s="13">
        <v>15.281000000000001</v>
      </c>
      <c r="BQ72" s="10">
        <v>0</v>
      </c>
      <c r="BR72" s="10">
        <v>0</v>
      </c>
      <c r="BS72" s="10">
        <v>4.0380000000000003</v>
      </c>
      <c r="BT72" s="10">
        <v>1.4850000000000001</v>
      </c>
      <c r="BU72" s="10">
        <v>0</v>
      </c>
      <c r="BV72" s="10">
        <v>2.8149999999999999</v>
      </c>
      <c r="BW72" s="13">
        <v>0</v>
      </c>
      <c r="BX72" s="13">
        <v>0.49399999999999999</v>
      </c>
      <c r="BY72" s="13">
        <v>0</v>
      </c>
      <c r="BZ72" s="13">
        <v>13.685</v>
      </c>
      <c r="CA72" s="13">
        <v>29.216999999999999</v>
      </c>
      <c r="CB72" s="13">
        <v>14.666</v>
      </c>
      <c r="CC72" s="13">
        <v>8.9179999999999993</v>
      </c>
      <c r="CD72" s="13">
        <v>33.917999999999999</v>
      </c>
      <c r="CE72" s="13">
        <v>11.175000000000001</v>
      </c>
      <c r="CF72" s="13">
        <v>7.556</v>
      </c>
      <c r="CG72" s="13">
        <v>3.423</v>
      </c>
      <c r="CH72" s="13">
        <v>0</v>
      </c>
      <c r="CI72" s="13">
        <v>0</v>
      </c>
      <c r="CJ72" s="13">
        <v>5.8490000000000002</v>
      </c>
      <c r="CK72" s="13">
        <v>0.45900000000000002</v>
      </c>
      <c r="CL72" s="13">
        <v>6.9790000000000001</v>
      </c>
      <c r="CM72" s="13">
        <v>1.762</v>
      </c>
      <c r="CN72" s="13">
        <v>0</v>
      </c>
      <c r="CO72" s="13">
        <v>3.6709999999999998</v>
      </c>
      <c r="CP72" s="13">
        <v>0</v>
      </c>
      <c r="CQ72" s="13">
        <v>0</v>
      </c>
      <c r="CR72" s="10">
        <v>0</v>
      </c>
      <c r="CS72" s="10">
        <v>0</v>
      </c>
      <c r="CT72" s="10">
        <v>2.319</v>
      </c>
      <c r="CU72" s="10">
        <v>0.66200000000000003</v>
      </c>
      <c r="CV72" s="10">
        <v>8.8390000000000004</v>
      </c>
      <c r="CW72" s="10">
        <v>4.9790000000000001</v>
      </c>
      <c r="CX72" s="10">
        <v>0</v>
      </c>
      <c r="CY72" s="10">
        <v>0</v>
      </c>
    </row>
    <row r="73" spans="1:103" x14ac:dyDescent="0.25">
      <c r="A73" s="5" t="s">
        <v>64</v>
      </c>
      <c r="B73" s="10">
        <v>17.364999999999998</v>
      </c>
      <c r="C73" s="10">
        <v>1.1259999999999999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12.749000000000001</v>
      </c>
      <c r="K73" s="10">
        <v>0</v>
      </c>
      <c r="L73" s="13">
        <v>1.847</v>
      </c>
      <c r="M73" s="13">
        <v>0.47</v>
      </c>
      <c r="N73" s="13">
        <v>0.29599999999999999</v>
      </c>
      <c r="O73" s="13">
        <v>0</v>
      </c>
      <c r="P73" s="13">
        <v>1.6539999999999999</v>
      </c>
      <c r="Q73" s="13">
        <v>7.2789999999999999</v>
      </c>
      <c r="R73" s="13">
        <v>2.8719999999999999</v>
      </c>
      <c r="S73" s="13">
        <v>1.2909999999999999</v>
      </c>
      <c r="T73" s="13">
        <v>3.7120000000000002</v>
      </c>
      <c r="U73" s="13">
        <v>5.3789999999999996</v>
      </c>
      <c r="V73" s="13">
        <v>2.008</v>
      </c>
      <c r="W73" s="13">
        <v>0</v>
      </c>
      <c r="X73" s="13">
        <v>0.27200000000000002</v>
      </c>
      <c r="Y73" s="13">
        <v>0.95799999999999996</v>
      </c>
      <c r="Z73" s="13">
        <v>0</v>
      </c>
      <c r="AA73" s="13">
        <v>0</v>
      </c>
      <c r="AB73" s="13">
        <v>0</v>
      </c>
      <c r="AC73" s="13">
        <v>10.582000000000001</v>
      </c>
      <c r="AD73" s="13">
        <v>0</v>
      </c>
      <c r="AE73" s="13">
        <v>0</v>
      </c>
      <c r="AF73" s="13">
        <v>5.4</v>
      </c>
      <c r="AG73" s="13">
        <v>0</v>
      </c>
      <c r="AH73" s="13">
        <v>11.891999999999999</v>
      </c>
      <c r="AI73" s="13">
        <v>0.4</v>
      </c>
      <c r="AJ73" s="13">
        <v>3.3380000000000001</v>
      </c>
      <c r="AK73" s="13">
        <v>4.9870000000000001</v>
      </c>
      <c r="AL73" s="13">
        <v>0</v>
      </c>
      <c r="AM73" s="13">
        <v>0</v>
      </c>
      <c r="AN73" s="13">
        <v>17.975000000000001</v>
      </c>
      <c r="AO73" s="13">
        <v>14.526</v>
      </c>
      <c r="AP73" s="13">
        <v>4.8490000000000002</v>
      </c>
      <c r="AQ73" s="10">
        <v>0</v>
      </c>
      <c r="AR73" s="10">
        <v>68.718999999999994</v>
      </c>
      <c r="AS73" s="10">
        <v>0</v>
      </c>
      <c r="AT73" s="10">
        <v>0</v>
      </c>
      <c r="AU73" s="10">
        <v>4.8680000000000003</v>
      </c>
      <c r="AV73" s="10">
        <v>3.52</v>
      </c>
      <c r="AW73" s="10">
        <v>0.83699999999999997</v>
      </c>
      <c r="AX73" s="10">
        <v>1.6559999999999999</v>
      </c>
      <c r="AY73" s="10">
        <v>0</v>
      </c>
      <c r="AZ73" s="13">
        <v>0.55700000000000005</v>
      </c>
      <c r="BA73" s="13">
        <v>0</v>
      </c>
      <c r="BB73" s="13">
        <v>0.313</v>
      </c>
      <c r="BC73" s="13">
        <v>0</v>
      </c>
      <c r="BD73" s="13">
        <v>0.34699999999999998</v>
      </c>
      <c r="BE73" s="13">
        <v>1.254</v>
      </c>
      <c r="BF73" s="13">
        <v>0</v>
      </c>
      <c r="BG73" s="13">
        <v>4.2359999999999998</v>
      </c>
      <c r="BH73" s="10">
        <v>0</v>
      </c>
      <c r="BI73" s="10">
        <v>0</v>
      </c>
      <c r="BJ73" s="10">
        <v>0</v>
      </c>
      <c r="BK73" s="13">
        <v>0</v>
      </c>
      <c r="BL73" s="13">
        <v>6.5279999999999996</v>
      </c>
      <c r="BM73" s="13">
        <v>0</v>
      </c>
      <c r="BN73" s="13">
        <v>12.6</v>
      </c>
      <c r="BO73" s="13">
        <v>0</v>
      </c>
      <c r="BP73" s="13">
        <v>30.562000000000001</v>
      </c>
      <c r="BQ73" s="10">
        <v>0</v>
      </c>
      <c r="BR73" s="10">
        <v>3.9550000000000001</v>
      </c>
      <c r="BS73" s="10">
        <v>0</v>
      </c>
      <c r="BT73" s="10">
        <v>1.4850000000000001</v>
      </c>
      <c r="BU73" s="10">
        <v>0</v>
      </c>
      <c r="BV73" s="10">
        <v>0</v>
      </c>
      <c r="BW73" s="13">
        <v>0</v>
      </c>
      <c r="BX73" s="13">
        <v>0.55800000000000005</v>
      </c>
      <c r="BY73" s="13">
        <v>0</v>
      </c>
      <c r="BZ73" s="13">
        <v>11.131</v>
      </c>
      <c r="CA73" s="13">
        <v>0.746</v>
      </c>
      <c r="CB73" s="13">
        <v>6.4969999999999999</v>
      </c>
      <c r="CC73" s="13">
        <v>8.9179999999999993</v>
      </c>
      <c r="CD73" s="13">
        <v>29.535</v>
      </c>
      <c r="CE73" s="13">
        <v>0</v>
      </c>
      <c r="CF73" s="13">
        <v>9.3469999999999995</v>
      </c>
      <c r="CG73" s="13">
        <v>1.4139999999999999</v>
      </c>
      <c r="CH73" s="13">
        <v>0.35099999999999998</v>
      </c>
      <c r="CI73" s="13">
        <v>0</v>
      </c>
      <c r="CJ73" s="13">
        <v>11.696999999999999</v>
      </c>
      <c r="CK73" s="13">
        <v>2.5489999999999999</v>
      </c>
      <c r="CL73" s="13">
        <v>8.9510000000000005</v>
      </c>
      <c r="CM73" s="13">
        <v>1.3049999999999999</v>
      </c>
      <c r="CN73" s="13">
        <v>0</v>
      </c>
      <c r="CO73" s="13">
        <v>0</v>
      </c>
      <c r="CP73" s="13">
        <v>0</v>
      </c>
      <c r="CQ73" s="13">
        <v>3.0750000000000002</v>
      </c>
      <c r="CR73" s="10">
        <v>0</v>
      </c>
      <c r="CS73" s="10">
        <v>0.20100000000000001</v>
      </c>
      <c r="CT73" s="10">
        <v>0</v>
      </c>
      <c r="CU73" s="10">
        <v>0.33100000000000002</v>
      </c>
      <c r="CV73" s="10">
        <v>0</v>
      </c>
      <c r="CW73" s="10">
        <v>0</v>
      </c>
      <c r="CX73" s="10">
        <v>0</v>
      </c>
      <c r="CY73" s="10">
        <v>0</v>
      </c>
    </row>
    <row r="74" spans="1:103" x14ac:dyDescent="0.25">
      <c r="A74" s="5" t="s">
        <v>63</v>
      </c>
      <c r="B74" s="10">
        <v>19.681999999999999</v>
      </c>
      <c r="C74" s="10">
        <v>0</v>
      </c>
      <c r="D74" s="10">
        <v>0.47199999999999998</v>
      </c>
      <c r="E74" s="10">
        <v>4.09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60.805</v>
      </c>
      <c r="L74" s="13">
        <v>0.47</v>
      </c>
      <c r="M74" s="13">
        <v>0</v>
      </c>
      <c r="N74" s="13">
        <v>0</v>
      </c>
      <c r="O74" s="13">
        <v>0</v>
      </c>
      <c r="P74" s="13">
        <v>1.103</v>
      </c>
      <c r="Q74" s="13">
        <v>2.4260000000000002</v>
      </c>
      <c r="R74" s="13">
        <v>0.71799999999999997</v>
      </c>
      <c r="S74" s="13">
        <v>0.56499999999999995</v>
      </c>
      <c r="T74" s="13">
        <v>2.7120000000000002</v>
      </c>
      <c r="U74" s="13">
        <v>2.4449999999999998</v>
      </c>
      <c r="V74" s="13">
        <v>1.53</v>
      </c>
      <c r="W74" s="13">
        <v>0</v>
      </c>
      <c r="X74" s="13">
        <v>0</v>
      </c>
      <c r="Y74" s="13">
        <v>3.0670000000000002</v>
      </c>
      <c r="Z74" s="13">
        <v>14.276</v>
      </c>
      <c r="AA74" s="13">
        <v>6.6059999999999999</v>
      </c>
      <c r="AB74" s="13">
        <v>1.236</v>
      </c>
      <c r="AC74" s="13">
        <v>0</v>
      </c>
      <c r="AD74" s="13">
        <v>0</v>
      </c>
      <c r="AE74" s="13">
        <v>0.72499999999999998</v>
      </c>
      <c r="AF74" s="13">
        <v>0</v>
      </c>
      <c r="AG74" s="13">
        <v>1.4490000000000001</v>
      </c>
      <c r="AH74" s="13">
        <v>0</v>
      </c>
      <c r="AI74" s="13">
        <v>0</v>
      </c>
      <c r="AJ74" s="13">
        <v>7.266</v>
      </c>
      <c r="AK74" s="13">
        <v>3.3380000000000001</v>
      </c>
      <c r="AL74" s="13">
        <v>0</v>
      </c>
      <c r="AM74" s="13">
        <v>0</v>
      </c>
      <c r="AN74" s="13">
        <v>11.459</v>
      </c>
      <c r="AO74" s="13">
        <v>4.4790000000000001</v>
      </c>
      <c r="AP74" s="13">
        <v>18.992000000000001</v>
      </c>
      <c r="AQ74" s="10">
        <v>22.047000000000001</v>
      </c>
      <c r="AR74" s="10">
        <v>18.933</v>
      </c>
      <c r="AS74" s="10">
        <v>9.0039999999999996</v>
      </c>
      <c r="AT74" s="10">
        <v>0</v>
      </c>
      <c r="AU74" s="10">
        <v>4.4029999999999996</v>
      </c>
      <c r="AV74" s="10">
        <v>1.4139999999999999</v>
      </c>
      <c r="AW74" s="10">
        <v>0.29499999999999998</v>
      </c>
      <c r="AX74" s="10">
        <v>0</v>
      </c>
      <c r="AY74" s="10">
        <v>4.1500000000000004</v>
      </c>
      <c r="AZ74" s="13">
        <v>2.78</v>
      </c>
      <c r="BA74" s="13">
        <v>0</v>
      </c>
      <c r="BB74" s="13">
        <v>1.6180000000000001</v>
      </c>
      <c r="BC74" s="13">
        <v>0.54200000000000004</v>
      </c>
      <c r="BD74" s="13">
        <v>0.91900000000000004</v>
      </c>
      <c r="BE74" s="13">
        <v>0</v>
      </c>
      <c r="BF74" s="13">
        <v>0</v>
      </c>
      <c r="BG74" s="13">
        <v>2.601</v>
      </c>
      <c r="BH74" s="10">
        <v>2.6669999999999998</v>
      </c>
      <c r="BI74" s="10">
        <v>3.7999999999999999E-2</v>
      </c>
      <c r="BJ74" s="10">
        <v>0</v>
      </c>
      <c r="BK74" s="13">
        <v>0</v>
      </c>
      <c r="BL74" s="13">
        <v>24.08</v>
      </c>
      <c r="BM74" s="13">
        <v>0</v>
      </c>
      <c r="BN74" s="13">
        <v>0</v>
      </c>
      <c r="BO74" s="13">
        <v>14.694000000000001</v>
      </c>
      <c r="BP74" s="13">
        <v>0</v>
      </c>
      <c r="BQ74" s="10">
        <v>0.83899999999999997</v>
      </c>
      <c r="BR74" s="10">
        <v>0.67200000000000004</v>
      </c>
      <c r="BS74" s="10">
        <v>0</v>
      </c>
      <c r="BT74" s="10">
        <v>0.495</v>
      </c>
      <c r="BU74" s="10">
        <v>0</v>
      </c>
      <c r="BV74" s="10">
        <v>5.6310000000000002</v>
      </c>
      <c r="BW74" s="13">
        <v>0</v>
      </c>
      <c r="BX74" s="13">
        <v>0</v>
      </c>
      <c r="BY74" s="13">
        <v>29.39</v>
      </c>
      <c r="BZ74" s="13">
        <v>11.131</v>
      </c>
      <c r="CA74" s="13">
        <v>0</v>
      </c>
      <c r="CB74" s="13">
        <v>0</v>
      </c>
      <c r="CC74" s="13">
        <v>26.841999999999999</v>
      </c>
      <c r="CD74" s="13">
        <v>33.917999999999999</v>
      </c>
      <c r="CE74" s="13">
        <v>11.673</v>
      </c>
      <c r="CF74" s="13">
        <v>29.718</v>
      </c>
      <c r="CG74" s="13">
        <v>3.8410000000000002</v>
      </c>
      <c r="CH74" s="13">
        <v>2.42</v>
      </c>
      <c r="CI74" s="13">
        <v>7.9249999999999998</v>
      </c>
      <c r="CJ74" s="13">
        <v>15.037000000000001</v>
      </c>
      <c r="CK74" s="13">
        <v>4.6390000000000002</v>
      </c>
      <c r="CL74" s="13">
        <v>4.6520000000000001</v>
      </c>
      <c r="CM74" s="13">
        <v>1.3049999999999999</v>
      </c>
      <c r="CN74" s="13">
        <v>13.093999999999999</v>
      </c>
      <c r="CO74" s="13">
        <v>0</v>
      </c>
      <c r="CP74" s="13">
        <v>0</v>
      </c>
      <c r="CQ74" s="13">
        <v>0</v>
      </c>
      <c r="CR74" s="10">
        <v>7.7160000000000002</v>
      </c>
      <c r="CS74" s="10">
        <v>0</v>
      </c>
      <c r="CT74" s="10">
        <v>0</v>
      </c>
      <c r="CU74" s="10">
        <v>0</v>
      </c>
      <c r="CV74" s="10">
        <v>5.3040000000000003</v>
      </c>
      <c r="CW74" s="10">
        <v>4.9790000000000001</v>
      </c>
      <c r="CX74" s="10">
        <v>0</v>
      </c>
      <c r="CY74" s="10">
        <v>0</v>
      </c>
    </row>
    <row r="75" spans="1:103" x14ac:dyDescent="0.25">
      <c r="A75" s="5" t="s">
        <v>62</v>
      </c>
      <c r="B75" s="10">
        <v>0</v>
      </c>
      <c r="C75" s="10">
        <v>2.5369999999999999</v>
      </c>
      <c r="D75" s="10">
        <v>0.47199999999999998</v>
      </c>
      <c r="E75" s="10">
        <v>8.18</v>
      </c>
      <c r="F75" s="10">
        <v>0</v>
      </c>
      <c r="G75" s="10">
        <v>0</v>
      </c>
      <c r="H75" s="10">
        <v>0</v>
      </c>
      <c r="I75" s="10">
        <v>0</v>
      </c>
      <c r="J75" s="10">
        <v>10.538</v>
      </c>
      <c r="K75" s="10">
        <v>0.125</v>
      </c>
      <c r="L75" s="13">
        <v>0</v>
      </c>
      <c r="M75" s="13">
        <v>0</v>
      </c>
      <c r="N75" s="13">
        <v>0</v>
      </c>
      <c r="O75" s="13">
        <v>0</v>
      </c>
      <c r="P75" s="13">
        <v>4.2169999999999996</v>
      </c>
      <c r="Q75" s="13">
        <v>0</v>
      </c>
      <c r="R75" s="13">
        <v>0</v>
      </c>
      <c r="S75" s="13">
        <v>1.1299999999999999</v>
      </c>
      <c r="T75" s="13">
        <v>0</v>
      </c>
      <c r="U75" s="13">
        <v>3.6669999999999998</v>
      </c>
      <c r="V75" s="13">
        <v>1.3380000000000001</v>
      </c>
      <c r="W75" s="13">
        <v>0</v>
      </c>
      <c r="X75" s="13">
        <v>0.27200000000000002</v>
      </c>
      <c r="Y75" s="13">
        <v>0.32800000000000001</v>
      </c>
      <c r="Z75" s="13">
        <v>3.49</v>
      </c>
      <c r="AA75" s="13">
        <v>6.2850000000000001</v>
      </c>
      <c r="AB75" s="13">
        <v>0</v>
      </c>
      <c r="AC75" s="13">
        <v>0</v>
      </c>
      <c r="AD75" s="13">
        <v>0.83799999999999997</v>
      </c>
      <c r="AE75" s="13">
        <v>2.0219999999999998</v>
      </c>
      <c r="AF75" s="13">
        <v>0</v>
      </c>
      <c r="AG75" s="13">
        <v>0</v>
      </c>
      <c r="AH75" s="13">
        <v>2.9729999999999999</v>
      </c>
      <c r="AI75" s="13">
        <v>6.2729999999999997</v>
      </c>
      <c r="AJ75" s="13">
        <v>0</v>
      </c>
      <c r="AK75" s="13">
        <v>7.266</v>
      </c>
      <c r="AL75" s="13">
        <v>3.786</v>
      </c>
      <c r="AM75" s="13">
        <v>0</v>
      </c>
      <c r="AN75" s="13">
        <v>0</v>
      </c>
      <c r="AO75" s="13">
        <v>2.3530000000000002</v>
      </c>
      <c r="AP75" s="13">
        <v>0</v>
      </c>
      <c r="AQ75" s="10">
        <v>0</v>
      </c>
      <c r="AR75" s="10">
        <v>4.3620000000000001</v>
      </c>
      <c r="AS75" s="10">
        <v>4.5019999999999998</v>
      </c>
      <c r="AT75" s="10">
        <v>0</v>
      </c>
      <c r="AU75" s="10">
        <v>1.9259999999999999</v>
      </c>
      <c r="AV75" s="10">
        <v>0</v>
      </c>
      <c r="AW75" s="10">
        <v>0</v>
      </c>
      <c r="AX75" s="10">
        <v>0</v>
      </c>
      <c r="AY75" s="10">
        <v>0</v>
      </c>
      <c r="AZ75" s="13">
        <v>0.2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3.2749999999999999</v>
      </c>
      <c r="BG75" s="13">
        <v>0</v>
      </c>
      <c r="BH75" s="10">
        <v>3.5649999999999999</v>
      </c>
      <c r="BI75" s="10">
        <v>3.7999999999999999E-2</v>
      </c>
      <c r="BJ75" s="10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9.4120000000000008</v>
      </c>
      <c r="BP75" s="13">
        <v>0</v>
      </c>
      <c r="BQ75" s="10">
        <v>1.258</v>
      </c>
      <c r="BR75" s="10">
        <v>0.67200000000000004</v>
      </c>
      <c r="BS75" s="10">
        <v>0</v>
      </c>
      <c r="BT75" s="10">
        <v>2.5099999999999998</v>
      </c>
      <c r="BU75" s="10">
        <v>0.24</v>
      </c>
      <c r="BV75" s="10">
        <v>2.8149999999999999</v>
      </c>
      <c r="BW75" s="13">
        <v>0</v>
      </c>
      <c r="BX75" s="13">
        <v>0</v>
      </c>
      <c r="BY75" s="13">
        <v>27.971</v>
      </c>
      <c r="BZ75" s="13">
        <v>11.131</v>
      </c>
      <c r="CA75" s="13">
        <v>6.5620000000000003</v>
      </c>
      <c r="CB75" s="13">
        <v>0</v>
      </c>
      <c r="CC75" s="13">
        <v>8.8330000000000002</v>
      </c>
      <c r="CD75" s="13">
        <v>0</v>
      </c>
      <c r="CE75" s="13">
        <v>10.417999999999999</v>
      </c>
      <c r="CF75" s="13">
        <v>13.518000000000001</v>
      </c>
      <c r="CG75" s="13">
        <v>3.89</v>
      </c>
      <c r="CH75" s="13">
        <v>1.9379999999999999</v>
      </c>
      <c r="CI75" s="13">
        <v>3.9510000000000001</v>
      </c>
      <c r="CJ75" s="13">
        <v>15.037000000000001</v>
      </c>
      <c r="CK75" s="13">
        <v>3.367</v>
      </c>
      <c r="CL75" s="13">
        <v>0</v>
      </c>
      <c r="CM75" s="13">
        <v>1.3049999999999999</v>
      </c>
      <c r="CN75" s="13">
        <v>0</v>
      </c>
      <c r="CO75" s="13">
        <v>0</v>
      </c>
      <c r="CP75" s="13">
        <v>0</v>
      </c>
      <c r="CQ75" s="13">
        <v>0</v>
      </c>
      <c r="CR75" s="10">
        <v>0</v>
      </c>
      <c r="CS75" s="10">
        <v>1.397</v>
      </c>
      <c r="CT75" s="10">
        <v>0</v>
      </c>
      <c r="CU75" s="10">
        <v>0.33100000000000002</v>
      </c>
      <c r="CV75" s="10">
        <v>0</v>
      </c>
      <c r="CW75" s="10">
        <v>0</v>
      </c>
      <c r="CX75" s="10">
        <v>0</v>
      </c>
      <c r="CY75" s="10">
        <v>0</v>
      </c>
    </row>
    <row r="76" spans="1:103" x14ac:dyDescent="0.25">
      <c r="A76" s="5" t="s">
        <v>61</v>
      </c>
      <c r="B76" s="10">
        <v>164.73400000000001</v>
      </c>
      <c r="C76" s="10">
        <v>0</v>
      </c>
      <c r="D76" s="10">
        <v>0</v>
      </c>
      <c r="E76" s="10">
        <v>0</v>
      </c>
      <c r="F76" s="10">
        <v>0.65500000000000003</v>
      </c>
      <c r="G76" s="10">
        <v>0</v>
      </c>
      <c r="H76" s="10">
        <v>25.565999999999999</v>
      </c>
      <c r="I76" s="10">
        <v>0</v>
      </c>
      <c r="J76" s="10">
        <v>0</v>
      </c>
      <c r="K76" s="10">
        <v>0</v>
      </c>
      <c r="L76" s="13">
        <v>0</v>
      </c>
      <c r="M76" s="13">
        <v>0.878</v>
      </c>
      <c r="N76" s="13">
        <v>0.59199999999999997</v>
      </c>
      <c r="O76" s="13">
        <v>3.7999999999999999E-2</v>
      </c>
      <c r="P76" s="13">
        <v>0</v>
      </c>
      <c r="Q76" s="13">
        <v>0</v>
      </c>
      <c r="R76" s="13">
        <v>0</v>
      </c>
      <c r="S76" s="13">
        <v>0</v>
      </c>
      <c r="T76" s="13">
        <v>0.89300000000000002</v>
      </c>
      <c r="U76" s="13">
        <v>0</v>
      </c>
      <c r="V76" s="13">
        <v>0.76400000000000001</v>
      </c>
      <c r="W76" s="13">
        <v>0</v>
      </c>
      <c r="X76" s="13">
        <v>0.54300000000000004</v>
      </c>
      <c r="Y76" s="13">
        <v>0.95799999999999996</v>
      </c>
      <c r="Z76" s="13">
        <v>0</v>
      </c>
      <c r="AA76" s="13">
        <v>18.04</v>
      </c>
      <c r="AB76" s="13">
        <v>0</v>
      </c>
      <c r="AC76" s="13">
        <v>0</v>
      </c>
      <c r="AD76" s="13">
        <v>15.638999999999999</v>
      </c>
      <c r="AE76" s="13">
        <v>1.647</v>
      </c>
      <c r="AF76" s="13">
        <v>0</v>
      </c>
      <c r="AG76" s="13">
        <v>0.45</v>
      </c>
      <c r="AH76" s="13">
        <v>5.9459999999999997</v>
      </c>
      <c r="AI76" s="13">
        <v>0</v>
      </c>
      <c r="AJ76" s="13">
        <v>2.0539999999999998</v>
      </c>
      <c r="AK76" s="13">
        <v>0</v>
      </c>
      <c r="AL76" s="13">
        <v>0</v>
      </c>
      <c r="AM76" s="13">
        <v>0</v>
      </c>
      <c r="AN76" s="13">
        <v>0</v>
      </c>
      <c r="AO76" s="13">
        <v>3.4689999999999999</v>
      </c>
      <c r="AP76" s="13">
        <v>10.603999999999999</v>
      </c>
      <c r="AQ76" s="10">
        <v>0</v>
      </c>
      <c r="AR76" s="10">
        <v>13.291</v>
      </c>
      <c r="AS76" s="10">
        <v>0</v>
      </c>
      <c r="AT76" s="10">
        <v>0</v>
      </c>
      <c r="AU76" s="10">
        <v>1.9259999999999999</v>
      </c>
      <c r="AV76" s="10">
        <v>14.775</v>
      </c>
      <c r="AW76" s="10">
        <v>0.21099999999999999</v>
      </c>
      <c r="AX76" s="10">
        <v>0</v>
      </c>
      <c r="AY76" s="10">
        <v>0</v>
      </c>
      <c r="AZ76" s="13">
        <v>1.39</v>
      </c>
      <c r="BA76" s="13">
        <v>0</v>
      </c>
      <c r="BB76" s="13">
        <v>0</v>
      </c>
      <c r="BC76" s="13">
        <v>0</v>
      </c>
      <c r="BD76" s="13">
        <v>0.45900000000000002</v>
      </c>
      <c r="BE76" s="13">
        <v>3.7629999999999999</v>
      </c>
      <c r="BF76" s="13">
        <v>2.7839999999999998</v>
      </c>
      <c r="BG76" s="13">
        <v>0</v>
      </c>
      <c r="BH76" s="10">
        <v>0</v>
      </c>
      <c r="BI76" s="10">
        <v>4.641</v>
      </c>
      <c r="BJ76" s="10">
        <v>2.512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0">
        <v>0.41899999999999998</v>
      </c>
      <c r="BR76" s="10">
        <v>8.5809999999999995</v>
      </c>
      <c r="BS76" s="10">
        <v>0</v>
      </c>
      <c r="BT76" s="10">
        <v>2.8679999999999999</v>
      </c>
      <c r="BU76" s="10">
        <v>1.554</v>
      </c>
      <c r="BV76" s="10">
        <v>3.976</v>
      </c>
      <c r="BW76" s="13">
        <v>0.59899999999999998</v>
      </c>
      <c r="BX76" s="13">
        <v>0.59499999999999997</v>
      </c>
      <c r="BY76" s="13">
        <v>13.531000000000001</v>
      </c>
      <c r="BZ76" s="13">
        <v>6.125</v>
      </c>
      <c r="CA76" s="13">
        <v>13.124000000000001</v>
      </c>
      <c r="CB76" s="13">
        <v>0</v>
      </c>
      <c r="CC76" s="13">
        <v>0</v>
      </c>
      <c r="CD76" s="13">
        <v>0.1</v>
      </c>
      <c r="CE76" s="13">
        <v>0</v>
      </c>
      <c r="CF76" s="13">
        <v>21.456</v>
      </c>
      <c r="CG76" s="13">
        <v>0.46700000000000003</v>
      </c>
      <c r="CH76" s="13">
        <v>1.9379999999999999</v>
      </c>
      <c r="CI76" s="13">
        <v>0</v>
      </c>
      <c r="CJ76" s="13">
        <v>0</v>
      </c>
      <c r="CK76" s="13">
        <v>8.5579999999999998</v>
      </c>
      <c r="CL76" s="13">
        <v>0</v>
      </c>
      <c r="CM76" s="13">
        <v>0.65300000000000002</v>
      </c>
      <c r="CN76" s="13">
        <v>0</v>
      </c>
      <c r="CO76" s="13">
        <v>9.4969999999999999</v>
      </c>
      <c r="CP76" s="13">
        <v>0</v>
      </c>
      <c r="CQ76" s="13">
        <v>3.0489999999999999</v>
      </c>
      <c r="CR76" s="10">
        <v>0</v>
      </c>
      <c r="CS76" s="10">
        <v>0</v>
      </c>
      <c r="CT76" s="10">
        <v>0</v>
      </c>
      <c r="CU76" s="10">
        <v>0</v>
      </c>
      <c r="CV76" s="10">
        <v>20.552</v>
      </c>
      <c r="CW76" s="10">
        <v>3.524</v>
      </c>
      <c r="CX76" s="10">
        <v>0.23799999999999999</v>
      </c>
      <c r="CY76" s="10">
        <v>0</v>
      </c>
    </row>
    <row r="77" spans="1:103" x14ac:dyDescent="0.25">
      <c r="A77" s="5" t="s">
        <v>60</v>
      </c>
      <c r="B77" s="10">
        <v>54.167000000000002</v>
      </c>
      <c r="C77" s="10">
        <v>0.69099999999999995</v>
      </c>
      <c r="D77" s="10">
        <v>1.417</v>
      </c>
      <c r="E77" s="10">
        <v>4.09</v>
      </c>
      <c r="F77" s="10">
        <v>0</v>
      </c>
      <c r="G77" s="10">
        <v>0</v>
      </c>
      <c r="H77" s="10">
        <v>15.103</v>
      </c>
      <c r="I77" s="10">
        <v>0</v>
      </c>
      <c r="J77" s="10">
        <v>31.452999999999999</v>
      </c>
      <c r="K77" s="10">
        <v>0</v>
      </c>
      <c r="L77" s="13">
        <v>0.878</v>
      </c>
      <c r="M77" s="13">
        <v>1.7549999999999999</v>
      </c>
      <c r="N77" s="13">
        <v>0</v>
      </c>
      <c r="O77" s="13">
        <v>0</v>
      </c>
      <c r="P77" s="13">
        <v>0</v>
      </c>
      <c r="Q77" s="13">
        <v>2.5720000000000001</v>
      </c>
      <c r="R77" s="13">
        <v>0</v>
      </c>
      <c r="S77" s="13">
        <v>0</v>
      </c>
      <c r="T77" s="13">
        <v>3.75</v>
      </c>
      <c r="U77" s="13">
        <v>0</v>
      </c>
      <c r="V77" s="13">
        <v>2.2930000000000001</v>
      </c>
      <c r="W77" s="13">
        <v>0</v>
      </c>
      <c r="X77" s="13">
        <v>0</v>
      </c>
      <c r="Y77" s="13">
        <v>1.915</v>
      </c>
      <c r="Z77" s="13">
        <v>0</v>
      </c>
      <c r="AA77" s="13">
        <v>13.212</v>
      </c>
      <c r="AB77" s="13">
        <v>0</v>
      </c>
      <c r="AC77" s="13">
        <v>0</v>
      </c>
      <c r="AD77" s="13">
        <v>0</v>
      </c>
      <c r="AE77" s="13">
        <v>2.0219999999999998</v>
      </c>
      <c r="AF77" s="13">
        <v>0</v>
      </c>
      <c r="AG77" s="13">
        <v>0.89900000000000002</v>
      </c>
      <c r="AH77" s="13">
        <v>6.3719999999999999</v>
      </c>
      <c r="AI77" s="13">
        <v>0</v>
      </c>
      <c r="AJ77" s="13">
        <v>0.89200000000000002</v>
      </c>
      <c r="AK77" s="13">
        <v>2.0539999999999998</v>
      </c>
      <c r="AL77" s="13">
        <v>18.931999999999999</v>
      </c>
      <c r="AM77" s="13">
        <v>0</v>
      </c>
      <c r="AN77" s="13">
        <v>14.803000000000001</v>
      </c>
      <c r="AO77" s="13">
        <v>0</v>
      </c>
      <c r="AP77" s="13">
        <v>0</v>
      </c>
      <c r="AQ77" s="10">
        <v>3.887</v>
      </c>
      <c r="AR77" s="10">
        <v>16.553000000000001</v>
      </c>
      <c r="AS77" s="10">
        <v>0</v>
      </c>
      <c r="AT77" s="10">
        <v>0</v>
      </c>
      <c r="AU77" s="10">
        <v>1.9259999999999999</v>
      </c>
      <c r="AV77" s="10">
        <v>7.0410000000000004</v>
      </c>
      <c r="AW77" s="10">
        <v>7.9000000000000001E-2</v>
      </c>
      <c r="AX77" s="10">
        <v>0</v>
      </c>
      <c r="AY77" s="10">
        <v>0</v>
      </c>
      <c r="AZ77" s="13">
        <v>2.085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2.3109999999999999</v>
      </c>
      <c r="BG77" s="13">
        <v>2.2200000000000002</v>
      </c>
      <c r="BH77" s="10">
        <v>3.61</v>
      </c>
      <c r="BI77" s="10">
        <v>3.2250000000000001</v>
      </c>
      <c r="BJ77" s="10">
        <v>0.85099999999999998</v>
      </c>
      <c r="BK77" s="13">
        <v>0</v>
      </c>
      <c r="BL77" s="13">
        <v>0</v>
      </c>
      <c r="BM77" s="13">
        <v>3.88</v>
      </c>
      <c r="BN77" s="13">
        <v>13.028</v>
      </c>
      <c r="BO77" s="13">
        <v>10.336</v>
      </c>
      <c r="BP77" s="13">
        <v>0</v>
      </c>
      <c r="BQ77" s="10">
        <v>0.75900000000000001</v>
      </c>
      <c r="BR77" s="10">
        <v>3.08</v>
      </c>
      <c r="BS77" s="10">
        <v>3.9550000000000001</v>
      </c>
      <c r="BT77" s="10">
        <v>1.2549999999999999</v>
      </c>
      <c r="BU77" s="10">
        <v>0.65700000000000003</v>
      </c>
      <c r="BV77" s="10">
        <v>1.988</v>
      </c>
      <c r="BW77" s="13">
        <v>0.60299999999999998</v>
      </c>
      <c r="BX77" s="13">
        <v>0.29799999999999999</v>
      </c>
      <c r="BY77" s="13">
        <v>39.195</v>
      </c>
      <c r="BZ77" s="13">
        <v>5.5659999999999998</v>
      </c>
      <c r="CA77" s="13">
        <v>9.4309999999999992</v>
      </c>
      <c r="CB77" s="13">
        <v>1.3340000000000001</v>
      </c>
      <c r="CC77" s="13">
        <v>26.498000000000001</v>
      </c>
      <c r="CD77" s="13">
        <v>0</v>
      </c>
      <c r="CE77" s="13">
        <v>15.08</v>
      </c>
      <c r="CF77" s="13">
        <v>10.728</v>
      </c>
      <c r="CG77" s="13">
        <v>5.3040000000000003</v>
      </c>
      <c r="CH77" s="13">
        <v>1.9379999999999999</v>
      </c>
      <c r="CI77" s="13">
        <v>0</v>
      </c>
      <c r="CJ77" s="13">
        <v>0</v>
      </c>
      <c r="CK77" s="13">
        <v>0</v>
      </c>
      <c r="CL77" s="13">
        <v>4.5359999999999996</v>
      </c>
      <c r="CM77" s="13">
        <v>1.3049999999999999</v>
      </c>
      <c r="CN77" s="13">
        <v>0</v>
      </c>
      <c r="CO77" s="13">
        <v>0</v>
      </c>
      <c r="CP77" s="13">
        <v>0</v>
      </c>
      <c r="CQ77" s="13">
        <v>0.32700000000000001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</row>
    <row r="78" spans="1:103" x14ac:dyDescent="0.25">
      <c r="A78" s="5" t="s">
        <v>59</v>
      </c>
      <c r="B78" s="10">
        <v>9.4369999999999994</v>
      </c>
      <c r="C78" s="10">
        <v>1.22</v>
      </c>
      <c r="D78" s="10">
        <v>0.57799999999999996</v>
      </c>
      <c r="E78" s="10">
        <v>2.0449999999999999</v>
      </c>
      <c r="F78" s="10">
        <v>0.65500000000000003</v>
      </c>
      <c r="G78" s="10">
        <v>16.186</v>
      </c>
      <c r="H78" s="10">
        <v>16.53</v>
      </c>
      <c r="I78" s="10">
        <v>0</v>
      </c>
      <c r="J78" s="10">
        <v>52.661000000000001</v>
      </c>
      <c r="K78" s="10">
        <v>25.448</v>
      </c>
      <c r="L78" s="13">
        <v>1.7549999999999999</v>
      </c>
      <c r="M78" s="13">
        <v>1.7549999999999999</v>
      </c>
      <c r="N78" s="13">
        <v>0</v>
      </c>
      <c r="O78" s="13">
        <v>0</v>
      </c>
      <c r="P78" s="13">
        <v>4.5960000000000001</v>
      </c>
      <c r="Q78" s="13">
        <v>1.286</v>
      </c>
      <c r="R78" s="13">
        <v>0</v>
      </c>
      <c r="S78" s="13">
        <v>0.59699999999999998</v>
      </c>
      <c r="T78" s="13">
        <v>0</v>
      </c>
      <c r="U78" s="13">
        <v>0</v>
      </c>
      <c r="V78" s="13">
        <v>0.76400000000000001</v>
      </c>
      <c r="W78" s="13">
        <v>0</v>
      </c>
      <c r="X78" s="13">
        <v>0.13</v>
      </c>
      <c r="Y78" s="13">
        <v>0.52300000000000002</v>
      </c>
      <c r="Z78" s="13">
        <v>7.64</v>
      </c>
      <c r="AA78" s="13">
        <v>0</v>
      </c>
      <c r="AB78" s="13">
        <v>0.13</v>
      </c>
      <c r="AC78" s="13">
        <v>5.8049999999999997</v>
      </c>
      <c r="AD78" s="13">
        <v>0</v>
      </c>
      <c r="AE78" s="13">
        <v>5.3650000000000002</v>
      </c>
      <c r="AF78" s="13">
        <v>0</v>
      </c>
      <c r="AG78" s="13">
        <v>0.89900000000000002</v>
      </c>
      <c r="AH78" s="13">
        <v>13.988</v>
      </c>
      <c r="AI78" s="13">
        <v>8.3179999999999996</v>
      </c>
      <c r="AJ78" s="13">
        <v>0.89200000000000002</v>
      </c>
      <c r="AK78" s="13">
        <v>0.89200000000000002</v>
      </c>
      <c r="AL78" s="13">
        <v>3.1579999999999999</v>
      </c>
      <c r="AM78" s="13">
        <v>0</v>
      </c>
      <c r="AN78" s="13">
        <v>0</v>
      </c>
      <c r="AO78" s="13">
        <v>0</v>
      </c>
      <c r="AP78" s="13">
        <v>0</v>
      </c>
      <c r="AQ78" s="10">
        <v>2.2229999999999999</v>
      </c>
      <c r="AR78" s="10">
        <v>16.817</v>
      </c>
      <c r="AS78" s="10">
        <v>0</v>
      </c>
      <c r="AT78" s="10">
        <v>5.4649999999999999</v>
      </c>
      <c r="AU78" s="10">
        <v>0</v>
      </c>
      <c r="AV78" s="10">
        <v>13.492000000000001</v>
      </c>
      <c r="AW78" s="10">
        <v>0.92300000000000004</v>
      </c>
      <c r="AX78" s="10">
        <v>3.6309999999999998</v>
      </c>
      <c r="AY78" s="10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0.91900000000000004</v>
      </c>
      <c r="BE78" s="13">
        <v>0</v>
      </c>
      <c r="BF78" s="13">
        <v>0.77</v>
      </c>
      <c r="BG78" s="13">
        <v>1.5509999999999999</v>
      </c>
      <c r="BH78" s="10">
        <v>0</v>
      </c>
      <c r="BI78" s="10">
        <v>1.319</v>
      </c>
      <c r="BJ78" s="10">
        <v>0</v>
      </c>
      <c r="BK78" s="13">
        <v>18.885000000000002</v>
      </c>
      <c r="BL78" s="13">
        <v>0</v>
      </c>
      <c r="BM78" s="13">
        <v>0</v>
      </c>
      <c r="BN78" s="13">
        <v>8.3989999999999991</v>
      </c>
      <c r="BO78" s="13">
        <v>1.071</v>
      </c>
      <c r="BP78" s="13">
        <v>3.9620000000000002</v>
      </c>
      <c r="BQ78" s="10">
        <v>0</v>
      </c>
      <c r="BR78" s="10">
        <v>0</v>
      </c>
      <c r="BS78" s="10">
        <v>0.67200000000000004</v>
      </c>
      <c r="BT78" s="10">
        <v>0</v>
      </c>
      <c r="BU78" s="10">
        <v>0</v>
      </c>
      <c r="BV78" s="10">
        <v>3.976</v>
      </c>
      <c r="BW78" s="13">
        <v>0</v>
      </c>
      <c r="BX78" s="13">
        <v>0</v>
      </c>
      <c r="BY78" s="13">
        <v>0</v>
      </c>
      <c r="BZ78" s="13">
        <v>9.9570000000000007</v>
      </c>
      <c r="CA78" s="13">
        <v>0</v>
      </c>
      <c r="CB78" s="13">
        <v>0</v>
      </c>
      <c r="CC78" s="13">
        <v>0</v>
      </c>
      <c r="CD78" s="13">
        <v>0</v>
      </c>
      <c r="CE78" s="13">
        <v>0.94599999999999995</v>
      </c>
      <c r="CF78" s="13">
        <v>23.265999999999998</v>
      </c>
      <c r="CG78" s="13">
        <v>2.1190000000000002</v>
      </c>
      <c r="CH78" s="13">
        <v>1.264</v>
      </c>
      <c r="CI78" s="13">
        <v>0</v>
      </c>
      <c r="CJ78" s="13">
        <v>0</v>
      </c>
      <c r="CK78" s="13">
        <v>2.8530000000000002</v>
      </c>
      <c r="CL78" s="13">
        <v>0.754</v>
      </c>
      <c r="CM78" s="13">
        <v>1.7090000000000001</v>
      </c>
      <c r="CN78" s="13">
        <v>0</v>
      </c>
      <c r="CO78" s="13">
        <v>0</v>
      </c>
      <c r="CP78" s="13">
        <v>2.2320000000000002</v>
      </c>
      <c r="CQ78" s="13">
        <v>0</v>
      </c>
      <c r="CR78" s="10">
        <v>0</v>
      </c>
      <c r="CS78" s="10">
        <v>0</v>
      </c>
      <c r="CT78" s="10">
        <v>0</v>
      </c>
      <c r="CU78" s="10">
        <v>0.52700000000000002</v>
      </c>
      <c r="CV78" s="10">
        <v>0</v>
      </c>
      <c r="CW78" s="10">
        <v>0</v>
      </c>
      <c r="CX78" s="10">
        <v>0</v>
      </c>
      <c r="CY78" s="10">
        <v>0.496</v>
      </c>
    </row>
    <row r="79" spans="1:103" x14ac:dyDescent="0.25">
      <c r="A79" s="5" t="s">
        <v>58</v>
      </c>
      <c r="B79" s="10">
        <v>1.8340000000000001</v>
      </c>
      <c r="C79" s="10">
        <v>0.48299999999999998</v>
      </c>
      <c r="D79" s="10">
        <v>0</v>
      </c>
      <c r="E79" s="10">
        <v>0</v>
      </c>
      <c r="F79" s="10">
        <v>0.65500000000000003</v>
      </c>
      <c r="G79" s="10">
        <v>15.192</v>
      </c>
      <c r="H79" s="10">
        <v>15.103</v>
      </c>
      <c r="I79" s="10">
        <v>0</v>
      </c>
      <c r="J79" s="10">
        <v>10.83</v>
      </c>
      <c r="K79" s="10">
        <v>0</v>
      </c>
      <c r="L79" s="13">
        <v>1.7549999999999999</v>
      </c>
      <c r="M79" s="13">
        <v>0</v>
      </c>
      <c r="N79" s="13">
        <v>0.27900000000000003</v>
      </c>
      <c r="O79" s="13">
        <v>0.113</v>
      </c>
      <c r="P79" s="13">
        <v>0.378</v>
      </c>
      <c r="Q79" s="13">
        <v>0</v>
      </c>
      <c r="R79" s="13">
        <v>0</v>
      </c>
      <c r="S79" s="13">
        <v>1.79</v>
      </c>
      <c r="T79" s="13">
        <v>0</v>
      </c>
      <c r="U79" s="13">
        <v>0</v>
      </c>
      <c r="V79" s="13">
        <v>3.0579999999999998</v>
      </c>
      <c r="W79" s="13">
        <v>0</v>
      </c>
      <c r="X79" s="13">
        <v>0.26</v>
      </c>
      <c r="Y79" s="13">
        <v>1.575</v>
      </c>
      <c r="Z79" s="13">
        <v>10.861000000000001</v>
      </c>
      <c r="AA79" s="13">
        <v>11.988</v>
      </c>
      <c r="AB79" s="13">
        <v>1.115</v>
      </c>
      <c r="AC79" s="13">
        <v>0</v>
      </c>
      <c r="AD79" s="13">
        <v>0</v>
      </c>
      <c r="AE79" s="13">
        <v>0.24099999999999999</v>
      </c>
      <c r="AF79" s="13">
        <v>27.332000000000001</v>
      </c>
      <c r="AG79" s="13">
        <v>1.349</v>
      </c>
      <c r="AH79" s="13">
        <v>6.9939999999999998</v>
      </c>
      <c r="AI79" s="13">
        <v>2.1949999999999998</v>
      </c>
      <c r="AJ79" s="13">
        <v>0</v>
      </c>
      <c r="AK79" s="13">
        <v>0.89200000000000002</v>
      </c>
      <c r="AL79" s="13">
        <v>16.120999999999999</v>
      </c>
      <c r="AM79" s="13">
        <v>0</v>
      </c>
      <c r="AN79" s="13">
        <v>43.454000000000001</v>
      </c>
      <c r="AO79" s="13">
        <v>4.4269999999999996</v>
      </c>
      <c r="AP79" s="13">
        <v>7.694</v>
      </c>
      <c r="AQ79" s="10">
        <v>0</v>
      </c>
      <c r="AR79" s="10">
        <v>0</v>
      </c>
      <c r="AS79" s="10">
        <v>0</v>
      </c>
      <c r="AT79" s="10">
        <v>4.0990000000000002</v>
      </c>
      <c r="AU79" s="10">
        <v>0</v>
      </c>
      <c r="AV79" s="10">
        <v>0</v>
      </c>
      <c r="AW79" s="10">
        <v>0.17</v>
      </c>
      <c r="AX79" s="10">
        <v>3.4870000000000001</v>
      </c>
      <c r="AY79" s="10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1.22</v>
      </c>
      <c r="BE79" s="13">
        <v>0</v>
      </c>
      <c r="BF79" s="13">
        <v>0.77</v>
      </c>
      <c r="BG79" s="13">
        <v>1.5509999999999999</v>
      </c>
      <c r="BH79" s="10">
        <v>3.2879999999999998</v>
      </c>
      <c r="BI79" s="10">
        <v>2.637</v>
      </c>
      <c r="BJ79" s="10">
        <v>0</v>
      </c>
      <c r="BK79" s="13">
        <v>0</v>
      </c>
      <c r="BL79" s="13">
        <v>0</v>
      </c>
      <c r="BM79" s="13">
        <v>15.52</v>
      </c>
      <c r="BN79" s="13">
        <v>22.925000000000001</v>
      </c>
      <c r="BO79" s="13">
        <v>0</v>
      </c>
      <c r="BP79" s="13">
        <v>27.515000000000001</v>
      </c>
      <c r="BQ79" s="10">
        <v>0</v>
      </c>
      <c r="BR79" s="10">
        <v>4.6210000000000004</v>
      </c>
      <c r="BS79" s="10">
        <v>0.67200000000000004</v>
      </c>
      <c r="BT79" s="10">
        <v>0</v>
      </c>
      <c r="BU79" s="10">
        <v>0</v>
      </c>
      <c r="BV79" s="10">
        <v>5.9640000000000004</v>
      </c>
      <c r="BW79" s="13">
        <v>0.16900000000000001</v>
      </c>
      <c r="BX79" s="13">
        <v>0</v>
      </c>
      <c r="BY79" s="13">
        <v>1.5860000000000001</v>
      </c>
      <c r="BZ79" s="13">
        <v>7.3019999999999996</v>
      </c>
      <c r="CA79" s="13">
        <v>8.8059999999999992</v>
      </c>
      <c r="CB79" s="13">
        <v>9.5009999999999994</v>
      </c>
      <c r="CC79" s="13">
        <v>6.92</v>
      </c>
      <c r="CD79" s="13">
        <v>7.5380000000000003</v>
      </c>
      <c r="CE79" s="13">
        <v>13.868</v>
      </c>
      <c r="CF79" s="13">
        <v>8.3699999999999992</v>
      </c>
      <c r="CG79" s="13">
        <v>1.8680000000000001</v>
      </c>
      <c r="CH79" s="13">
        <v>0.96899999999999997</v>
      </c>
      <c r="CI79" s="13">
        <v>1.3280000000000001</v>
      </c>
      <c r="CJ79" s="13">
        <v>11.973000000000001</v>
      </c>
      <c r="CK79" s="13">
        <v>8.5579999999999998</v>
      </c>
      <c r="CL79" s="13">
        <v>0.57499999999999996</v>
      </c>
      <c r="CM79" s="13">
        <v>4.1210000000000004</v>
      </c>
      <c r="CN79" s="13">
        <v>8.17</v>
      </c>
      <c r="CO79" s="13">
        <v>0</v>
      </c>
      <c r="CP79" s="13">
        <v>3.3479999999999999</v>
      </c>
      <c r="CQ79" s="13">
        <v>7.359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0.71399999999999997</v>
      </c>
      <c r="CY79" s="10">
        <v>0.496</v>
      </c>
    </row>
    <row r="80" spans="1:103" x14ac:dyDescent="0.25">
      <c r="A80" s="5" t="s">
        <v>57</v>
      </c>
      <c r="B80" s="10">
        <v>2.395</v>
      </c>
      <c r="C80" s="10">
        <v>0</v>
      </c>
      <c r="D80" s="10">
        <v>1.1559999999999999</v>
      </c>
      <c r="E80" s="10">
        <v>3.36</v>
      </c>
      <c r="F80" s="10">
        <v>0</v>
      </c>
      <c r="G80" s="10">
        <v>5.9569999999999999</v>
      </c>
      <c r="H80" s="10">
        <v>0</v>
      </c>
      <c r="I80" s="10">
        <v>25.565999999999999</v>
      </c>
      <c r="J80" s="10">
        <v>5.7590000000000003</v>
      </c>
      <c r="K80" s="10">
        <v>0</v>
      </c>
      <c r="L80" s="13">
        <v>0</v>
      </c>
      <c r="M80" s="13">
        <v>4.0890000000000004</v>
      </c>
      <c r="N80" s="13">
        <v>0</v>
      </c>
      <c r="O80" s="13">
        <v>0</v>
      </c>
      <c r="P80" s="13">
        <v>0</v>
      </c>
      <c r="Q80" s="13">
        <v>0</v>
      </c>
      <c r="R80" s="13">
        <v>1.6439999999999999</v>
      </c>
      <c r="S80" s="13">
        <v>0.59699999999999998</v>
      </c>
      <c r="T80" s="13">
        <v>1.25</v>
      </c>
      <c r="U80" s="13">
        <v>0</v>
      </c>
      <c r="V80" s="13">
        <v>1.5289999999999999</v>
      </c>
      <c r="W80" s="13">
        <v>0</v>
      </c>
      <c r="X80" s="13">
        <v>0.39</v>
      </c>
      <c r="Y80" s="13">
        <v>0.96</v>
      </c>
      <c r="Z80" s="13">
        <v>0</v>
      </c>
      <c r="AA80" s="13">
        <v>3.734</v>
      </c>
      <c r="AB80" s="13">
        <v>0</v>
      </c>
      <c r="AC80" s="13">
        <v>5.8049999999999997</v>
      </c>
      <c r="AD80" s="13">
        <v>23.196000000000002</v>
      </c>
      <c r="AE80" s="13">
        <v>0</v>
      </c>
      <c r="AF80" s="13">
        <v>0</v>
      </c>
      <c r="AG80" s="13">
        <v>0</v>
      </c>
      <c r="AH80" s="13">
        <v>0</v>
      </c>
      <c r="AI80" s="13">
        <v>2.1949999999999998</v>
      </c>
      <c r="AJ80" s="13">
        <v>0.75600000000000001</v>
      </c>
      <c r="AK80" s="13">
        <v>0</v>
      </c>
      <c r="AL80" s="13">
        <v>0</v>
      </c>
      <c r="AM80" s="13">
        <v>16.059999999999999</v>
      </c>
      <c r="AN80" s="13">
        <v>0</v>
      </c>
      <c r="AO80" s="13">
        <v>5.7060000000000004</v>
      </c>
      <c r="AP80" s="13">
        <v>3.613</v>
      </c>
      <c r="AQ80" s="10">
        <v>11.749000000000001</v>
      </c>
      <c r="AR80" s="10">
        <v>24.713999999999999</v>
      </c>
      <c r="AS80" s="10">
        <v>0</v>
      </c>
      <c r="AT80" s="10">
        <v>2.7330000000000001</v>
      </c>
      <c r="AU80" s="10">
        <v>3.6320000000000001</v>
      </c>
      <c r="AV80" s="10">
        <v>16.666</v>
      </c>
      <c r="AW80" s="10">
        <v>0.29699999999999999</v>
      </c>
      <c r="AX80" s="10">
        <v>1.744</v>
      </c>
      <c r="AY80" s="10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0.61</v>
      </c>
      <c r="BE80" s="13">
        <v>2.9550000000000001</v>
      </c>
      <c r="BF80" s="13">
        <v>0</v>
      </c>
      <c r="BG80" s="13">
        <v>2.2200000000000002</v>
      </c>
      <c r="BH80" s="10">
        <v>3.3519999999999999</v>
      </c>
      <c r="BI80" s="10">
        <v>0</v>
      </c>
      <c r="BJ80" s="10">
        <v>0</v>
      </c>
      <c r="BK80" s="13">
        <v>14.968</v>
      </c>
      <c r="BL80" s="13">
        <v>0</v>
      </c>
      <c r="BM80" s="13">
        <v>3.88</v>
      </c>
      <c r="BN80" s="13">
        <v>33.594999999999999</v>
      </c>
      <c r="BO80" s="13">
        <v>0</v>
      </c>
      <c r="BP80" s="13">
        <v>22.356000000000002</v>
      </c>
      <c r="BQ80" s="10">
        <v>0.27200000000000002</v>
      </c>
      <c r="BR80" s="10">
        <v>1.54</v>
      </c>
      <c r="BS80" s="10">
        <v>8.5809999999999995</v>
      </c>
      <c r="BT80" s="10">
        <v>1.2969999999999999</v>
      </c>
      <c r="BU80" s="10">
        <v>0</v>
      </c>
      <c r="BV80" s="10">
        <v>0</v>
      </c>
      <c r="BW80" s="13">
        <v>1.7170000000000001</v>
      </c>
      <c r="BX80" s="13">
        <v>0</v>
      </c>
      <c r="BY80" s="13">
        <v>11.428000000000001</v>
      </c>
      <c r="BZ80" s="13">
        <v>19.37</v>
      </c>
      <c r="CA80" s="13">
        <v>5.6109999999999998</v>
      </c>
      <c r="CB80" s="13">
        <v>15.987</v>
      </c>
      <c r="CC80" s="13">
        <v>13.308999999999999</v>
      </c>
      <c r="CD80" s="13">
        <v>0</v>
      </c>
      <c r="CE80" s="13">
        <v>14.037000000000001</v>
      </c>
      <c r="CF80" s="13">
        <v>8.6890000000000001</v>
      </c>
      <c r="CG80" s="13">
        <v>0</v>
      </c>
      <c r="CH80" s="13">
        <v>1.601</v>
      </c>
      <c r="CI80" s="13">
        <v>2.3239999999999998</v>
      </c>
      <c r="CJ80" s="13">
        <v>8.8870000000000005</v>
      </c>
      <c r="CK80" s="13">
        <v>2.7</v>
      </c>
      <c r="CL80" s="13">
        <v>4.5359999999999996</v>
      </c>
      <c r="CM80" s="13">
        <v>3.4180000000000001</v>
      </c>
      <c r="CN80" s="13">
        <v>0</v>
      </c>
      <c r="CO80" s="13">
        <v>0</v>
      </c>
      <c r="CP80" s="13">
        <v>0</v>
      </c>
      <c r="CQ80" s="13">
        <v>0</v>
      </c>
      <c r="CR80" s="10">
        <v>0</v>
      </c>
      <c r="CS80" s="10">
        <v>0</v>
      </c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0.99199999999999999</v>
      </c>
    </row>
    <row r="81" spans="1:103" x14ac:dyDescent="0.25">
      <c r="A81" s="5" t="s">
        <v>56</v>
      </c>
      <c r="B81" s="10">
        <v>37.924999999999997</v>
      </c>
      <c r="C81" s="10">
        <v>0</v>
      </c>
      <c r="D81" s="10">
        <v>0</v>
      </c>
      <c r="E81" s="10">
        <v>3.36</v>
      </c>
      <c r="F81" s="10">
        <v>0.435</v>
      </c>
      <c r="G81" s="10">
        <v>9.0340000000000007</v>
      </c>
      <c r="H81" s="10">
        <v>0</v>
      </c>
      <c r="I81" s="10">
        <v>15.103</v>
      </c>
      <c r="J81" s="10">
        <v>0</v>
      </c>
      <c r="K81" s="10">
        <v>0</v>
      </c>
      <c r="L81" s="13">
        <v>4.0890000000000004</v>
      </c>
      <c r="M81" s="13">
        <v>1.022</v>
      </c>
      <c r="N81" s="13">
        <v>0.27900000000000003</v>
      </c>
      <c r="O81" s="13">
        <v>0.16700000000000001</v>
      </c>
      <c r="P81" s="13">
        <v>2.7759999999999998</v>
      </c>
      <c r="Q81" s="13">
        <v>5.5259999999999998</v>
      </c>
      <c r="R81" s="13">
        <v>0.82199999999999995</v>
      </c>
      <c r="S81" s="13">
        <v>0</v>
      </c>
      <c r="T81" s="13">
        <v>1.7250000000000001</v>
      </c>
      <c r="U81" s="13">
        <v>0</v>
      </c>
      <c r="V81" s="13">
        <v>1.5820000000000001</v>
      </c>
      <c r="W81" s="13">
        <v>0</v>
      </c>
      <c r="X81" s="13">
        <v>0</v>
      </c>
      <c r="Y81" s="13">
        <v>0.437</v>
      </c>
      <c r="Z81" s="13">
        <v>0</v>
      </c>
      <c r="AA81" s="13">
        <v>5.39</v>
      </c>
      <c r="AB81" s="13">
        <v>0</v>
      </c>
      <c r="AC81" s="13">
        <v>4.9720000000000004</v>
      </c>
      <c r="AD81" s="13">
        <v>19.097000000000001</v>
      </c>
      <c r="AE81" s="13">
        <v>0</v>
      </c>
      <c r="AF81" s="13">
        <v>0</v>
      </c>
      <c r="AG81" s="13">
        <v>0.50800000000000001</v>
      </c>
      <c r="AH81" s="13">
        <v>0</v>
      </c>
      <c r="AI81" s="13">
        <v>2.4540000000000002</v>
      </c>
      <c r="AJ81" s="13">
        <v>0</v>
      </c>
      <c r="AK81" s="13">
        <v>0.75600000000000001</v>
      </c>
      <c r="AL81" s="13">
        <v>0</v>
      </c>
      <c r="AM81" s="13">
        <v>1.0229999999999999</v>
      </c>
      <c r="AN81" s="13">
        <v>0</v>
      </c>
      <c r="AO81" s="13">
        <v>12.653</v>
      </c>
      <c r="AP81" s="13">
        <v>17.071000000000002</v>
      </c>
      <c r="AQ81" s="10">
        <v>0</v>
      </c>
      <c r="AR81" s="10">
        <v>24.713999999999999</v>
      </c>
      <c r="AS81" s="10">
        <v>0</v>
      </c>
      <c r="AT81" s="10">
        <v>0</v>
      </c>
      <c r="AU81" s="10">
        <v>0.75600000000000001</v>
      </c>
      <c r="AV81" s="10">
        <v>0</v>
      </c>
      <c r="AW81" s="10">
        <v>0.44600000000000001</v>
      </c>
      <c r="AX81" s="10">
        <v>0</v>
      </c>
      <c r="AY81" s="10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0.77</v>
      </c>
      <c r="BG81" s="13">
        <v>3.8849999999999998</v>
      </c>
      <c r="BH81" s="10">
        <v>1.51</v>
      </c>
      <c r="BI81" s="10">
        <v>0</v>
      </c>
      <c r="BJ81" s="10">
        <v>5.0860000000000003</v>
      </c>
      <c r="BK81" s="13">
        <v>0</v>
      </c>
      <c r="BL81" s="13">
        <v>0</v>
      </c>
      <c r="BM81" s="13">
        <v>0</v>
      </c>
      <c r="BN81" s="13">
        <v>0</v>
      </c>
      <c r="BO81" s="13">
        <v>1.224</v>
      </c>
      <c r="BP81" s="13">
        <v>0</v>
      </c>
      <c r="BQ81" s="10">
        <v>0.371</v>
      </c>
      <c r="BR81" s="10">
        <v>3.08</v>
      </c>
      <c r="BS81" s="10">
        <v>3.08</v>
      </c>
      <c r="BT81" s="10">
        <v>0</v>
      </c>
      <c r="BU81" s="10">
        <v>2.8119999999999998</v>
      </c>
      <c r="BV81" s="10">
        <v>9.94</v>
      </c>
      <c r="BW81" s="13">
        <v>0</v>
      </c>
      <c r="BX81" s="13">
        <v>0</v>
      </c>
      <c r="BY81" s="13">
        <v>13.14</v>
      </c>
      <c r="BZ81" s="13">
        <v>35.732999999999997</v>
      </c>
      <c r="CA81" s="13">
        <v>12.061</v>
      </c>
      <c r="CB81" s="13">
        <v>33.948999999999998</v>
      </c>
      <c r="CC81" s="13">
        <v>22.72</v>
      </c>
      <c r="CD81" s="13">
        <v>7.6970000000000001</v>
      </c>
      <c r="CE81" s="13">
        <v>4.1559999999999997</v>
      </c>
      <c r="CF81" s="13">
        <v>9.3970000000000002</v>
      </c>
      <c r="CG81" s="13">
        <v>2.5249999999999999</v>
      </c>
      <c r="CH81" s="13">
        <v>0.73699999999999999</v>
      </c>
      <c r="CI81" s="13">
        <v>0</v>
      </c>
      <c r="CJ81" s="13">
        <v>0</v>
      </c>
      <c r="CK81" s="13">
        <v>2.1829999999999998</v>
      </c>
      <c r="CL81" s="13">
        <v>6.641</v>
      </c>
      <c r="CM81" s="13">
        <v>0</v>
      </c>
      <c r="CN81" s="13">
        <v>8.17</v>
      </c>
      <c r="CO81" s="13">
        <v>0</v>
      </c>
      <c r="CP81" s="13">
        <v>1.3839999999999999</v>
      </c>
      <c r="CQ81" s="13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</row>
    <row r="82" spans="1:103" x14ac:dyDescent="0.25">
      <c r="A82" s="5" t="s">
        <v>55</v>
      </c>
      <c r="B82" s="10">
        <v>58.478000000000002</v>
      </c>
      <c r="C82" s="10">
        <v>0</v>
      </c>
      <c r="D82" s="10">
        <v>1.1559999999999999</v>
      </c>
      <c r="E82" s="10">
        <v>1.68</v>
      </c>
      <c r="F82" s="10">
        <v>0</v>
      </c>
      <c r="G82" s="10">
        <v>9.3179999999999996</v>
      </c>
      <c r="H82" s="10">
        <v>0</v>
      </c>
      <c r="I82" s="10">
        <v>16.53</v>
      </c>
      <c r="J82" s="10">
        <v>24.370999999999999</v>
      </c>
      <c r="K82" s="10">
        <v>0</v>
      </c>
      <c r="L82" s="13">
        <v>1.022</v>
      </c>
      <c r="M82" s="13">
        <v>1.538</v>
      </c>
      <c r="N82" s="13">
        <v>0.27900000000000003</v>
      </c>
      <c r="O82" s="13">
        <v>0.251</v>
      </c>
      <c r="P82" s="13">
        <v>0</v>
      </c>
      <c r="Q82" s="13">
        <v>0</v>
      </c>
      <c r="R82" s="13">
        <v>0</v>
      </c>
      <c r="S82" s="13">
        <v>0.45800000000000002</v>
      </c>
      <c r="T82" s="13">
        <v>0</v>
      </c>
      <c r="U82" s="13">
        <v>0</v>
      </c>
      <c r="V82" s="13">
        <v>0</v>
      </c>
      <c r="W82" s="13">
        <v>2.4430000000000001</v>
      </c>
      <c r="X82" s="13">
        <v>0</v>
      </c>
      <c r="Y82" s="13">
        <v>0</v>
      </c>
      <c r="Z82" s="13">
        <v>8.7490000000000006</v>
      </c>
      <c r="AA82" s="13">
        <v>5.39</v>
      </c>
      <c r="AB82" s="13">
        <v>0</v>
      </c>
      <c r="AC82" s="13">
        <v>17.416</v>
      </c>
      <c r="AD82" s="13">
        <v>0</v>
      </c>
      <c r="AE82" s="13">
        <v>14.739000000000001</v>
      </c>
      <c r="AF82" s="13">
        <v>5.3360000000000003</v>
      </c>
      <c r="AG82" s="13">
        <v>1.016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17.709</v>
      </c>
      <c r="AP82" s="13">
        <v>0</v>
      </c>
      <c r="AQ82" s="10">
        <v>0</v>
      </c>
      <c r="AR82" s="10">
        <v>5.149</v>
      </c>
      <c r="AS82" s="10">
        <v>0</v>
      </c>
      <c r="AT82" s="10">
        <v>0</v>
      </c>
      <c r="AU82" s="10">
        <v>0</v>
      </c>
      <c r="AV82" s="10">
        <v>0</v>
      </c>
      <c r="AW82" s="10">
        <v>0.14899999999999999</v>
      </c>
      <c r="AX82" s="10">
        <v>0</v>
      </c>
      <c r="AY82" s="10">
        <v>0</v>
      </c>
      <c r="AZ82" s="13">
        <v>0</v>
      </c>
      <c r="BA82" s="13">
        <v>0</v>
      </c>
      <c r="BB82" s="13">
        <v>0</v>
      </c>
      <c r="BC82" s="13">
        <v>0.61299999999999999</v>
      </c>
      <c r="BD82" s="13">
        <v>0</v>
      </c>
      <c r="BE82" s="13">
        <v>2.5089999999999999</v>
      </c>
      <c r="BF82" s="13">
        <v>0</v>
      </c>
      <c r="BG82" s="13">
        <v>0</v>
      </c>
      <c r="BH82" s="10">
        <v>6.3280000000000003</v>
      </c>
      <c r="BI82" s="10">
        <v>0</v>
      </c>
      <c r="BJ82" s="10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12.891</v>
      </c>
      <c r="BQ82" s="10">
        <v>0.71399999999999997</v>
      </c>
      <c r="BR82" s="10">
        <v>3.33</v>
      </c>
      <c r="BS82" s="10">
        <v>0</v>
      </c>
      <c r="BT82" s="10">
        <v>0</v>
      </c>
      <c r="BU82" s="10">
        <v>2.8119999999999998</v>
      </c>
      <c r="BV82" s="10">
        <v>2.25</v>
      </c>
      <c r="BW82" s="13">
        <v>0</v>
      </c>
      <c r="BX82" s="13">
        <v>0</v>
      </c>
      <c r="BY82" s="13">
        <v>2.028</v>
      </c>
      <c r="BZ82" s="13">
        <v>16.866</v>
      </c>
      <c r="CA82" s="13">
        <v>14.076000000000001</v>
      </c>
      <c r="CB82" s="13">
        <v>0</v>
      </c>
      <c r="CC82" s="13">
        <v>21.74</v>
      </c>
      <c r="CD82" s="13">
        <v>15.395</v>
      </c>
      <c r="CE82" s="13">
        <v>16.023</v>
      </c>
      <c r="CF82" s="13">
        <v>34.052999999999997</v>
      </c>
      <c r="CG82" s="13">
        <v>0</v>
      </c>
      <c r="CH82" s="13">
        <v>4.032</v>
      </c>
      <c r="CI82" s="13">
        <v>0</v>
      </c>
      <c r="CJ82" s="13">
        <v>11.973000000000001</v>
      </c>
      <c r="CK82" s="13">
        <v>0.77300000000000002</v>
      </c>
      <c r="CL82" s="13">
        <v>0</v>
      </c>
      <c r="CM82" s="13">
        <v>0</v>
      </c>
      <c r="CN82" s="13">
        <v>5.399</v>
      </c>
      <c r="CO82" s="13">
        <v>0</v>
      </c>
      <c r="CP82" s="13">
        <v>1.2110000000000001</v>
      </c>
      <c r="CQ82" s="13">
        <v>0</v>
      </c>
      <c r="CR82" s="10">
        <v>0</v>
      </c>
      <c r="CS82" s="10">
        <v>0</v>
      </c>
      <c r="CT82" s="10">
        <v>0</v>
      </c>
      <c r="CU82" s="10">
        <v>0.105</v>
      </c>
      <c r="CV82" s="10">
        <v>0</v>
      </c>
      <c r="CW82" s="10">
        <v>0</v>
      </c>
      <c r="CX82" s="10">
        <v>0</v>
      </c>
      <c r="CY82" s="10">
        <v>0</v>
      </c>
    </row>
    <row r="83" spans="1:103" x14ac:dyDescent="0.25">
      <c r="A83" s="5" t="s">
        <v>54</v>
      </c>
      <c r="B83" s="10">
        <v>40.405000000000001</v>
      </c>
      <c r="C83" s="10">
        <v>0</v>
      </c>
      <c r="D83" s="10">
        <v>0.91700000000000004</v>
      </c>
      <c r="E83" s="10">
        <v>3.36</v>
      </c>
      <c r="F83" s="10">
        <v>0</v>
      </c>
      <c r="G83" s="10">
        <v>9.3179999999999996</v>
      </c>
      <c r="H83" s="10">
        <v>0</v>
      </c>
      <c r="I83" s="10">
        <v>15.103</v>
      </c>
      <c r="J83" s="10">
        <v>19.795000000000002</v>
      </c>
      <c r="K83" s="10">
        <v>24.923999999999999</v>
      </c>
      <c r="L83" s="13">
        <v>1.538</v>
      </c>
      <c r="M83" s="13">
        <v>0.48599999999999999</v>
      </c>
      <c r="N83" s="13">
        <v>0.73299999999999998</v>
      </c>
      <c r="O83" s="13">
        <v>8.4000000000000005E-2</v>
      </c>
      <c r="P83" s="13">
        <v>0</v>
      </c>
      <c r="Q83" s="13">
        <v>5.5259999999999998</v>
      </c>
      <c r="R83" s="13">
        <v>0.90700000000000003</v>
      </c>
      <c r="S83" s="13">
        <v>0</v>
      </c>
      <c r="T83" s="13">
        <v>0</v>
      </c>
      <c r="U83" s="13">
        <v>0</v>
      </c>
      <c r="V83" s="13">
        <v>4.1509999999999998</v>
      </c>
      <c r="W83" s="13">
        <v>0</v>
      </c>
      <c r="X83" s="13">
        <v>0</v>
      </c>
      <c r="Y83" s="13">
        <v>0</v>
      </c>
      <c r="Z83" s="13">
        <v>0</v>
      </c>
      <c r="AA83" s="13">
        <v>3.734</v>
      </c>
      <c r="AB83" s="13">
        <v>0</v>
      </c>
      <c r="AC83" s="13">
        <v>0</v>
      </c>
      <c r="AD83" s="13">
        <v>0</v>
      </c>
      <c r="AE83" s="13">
        <v>6.5970000000000004</v>
      </c>
      <c r="AF83" s="13">
        <v>0</v>
      </c>
      <c r="AG83" s="13">
        <v>0</v>
      </c>
      <c r="AH83" s="13">
        <v>0</v>
      </c>
      <c r="AI83" s="13">
        <v>4.3899999999999997</v>
      </c>
      <c r="AJ83" s="13">
        <v>0</v>
      </c>
      <c r="AK83" s="13">
        <v>0</v>
      </c>
      <c r="AL83" s="13">
        <v>10.006</v>
      </c>
      <c r="AM83" s="13">
        <v>1.0229999999999999</v>
      </c>
      <c r="AN83" s="13">
        <v>0</v>
      </c>
      <c r="AO83" s="13">
        <v>14.728</v>
      </c>
      <c r="AP83" s="13">
        <v>5.69</v>
      </c>
      <c r="AQ83" s="10">
        <v>8.2799999999999994</v>
      </c>
      <c r="AR83" s="10">
        <v>24.713999999999999</v>
      </c>
      <c r="AS83" s="10">
        <v>0</v>
      </c>
      <c r="AT83" s="10">
        <v>0</v>
      </c>
      <c r="AU83" s="10">
        <v>0</v>
      </c>
      <c r="AV83" s="10">
        <v>9.8569999999999993</v>
      </c>
      <c r="AW83" s="10">
        <v>0.89100000000000001</v>
      </c>
      <c r="AX83" s="10">
        <v>0</v>
      </c>
      <c r="AY83" s="10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1.5980000000000001</v>
      </c>
      <c r="BH83" s="10">
        <v>3.181</v>
      </c>
      <c r="BI83" s="10">
        <v>0</v>
      </c>
      <c r="BJ83" s="10">
        <v>0</v>
      </c>
      <c r="BK83" s="13">
        <v>0</v>
      </c>
      <c r="BL83" s="13">
        <v>0</v>
      </c>
      <c r="BM83" s="13">
        <v>32.271000000000001</v>
      </c>
      <c r="BN83" s="13">
        <v>11.952</v>
      </c>
      <c r="BO83" s="13">
        <v>3.3559999999999999</v>
      </c>
      <c r="BP83" s="13">
        <v>0.83699999999999997</v>
      </c>
      <c r="BQ83" s="10">
        <v>0.376</v>
      </c>
      <c r="BR83" s="10">
        <v>5.843</v>
      </c>
      <c r="BS83" s="10">
        <v>4.6210000000000004</v>
      </c>
      <c r="BT83" s="10">
        <v>0</v>
      </c>
      <c r="BU83" s="10">
        <v>0</v>
      </c>
      <c r="BV83" s="10">
        <v>5.4539999999999997</v>
      </c>
      <c r="BW83" s="13">
        <v>0.57199999999999995</v>
      </c>
      <c r="BX83" s="13">
        <v>0</v>
      </c>
      <c r="BY83" s="13">
        <v>9.7759999999999998</v>
      </c>
      <c r="BZ83" s="13">
        <v>5.4950000000000001</v>
      </c>
      <c r="CA83" s="13">
        <v>20.498000000000001</v>
      </c>
      <c r="CB83" s="13">
        <v>0</v>
      </c>
      <c r="CC83" s="13">
        <v>13.84</v>
      </c>
      <c r="CD83" s="13">
        <v>30.79</v>
      </c>
      <c r="CE83" s="13">
        <v>9.3919999999999995</v>
      </c>
      <c r="CF83" s="13">
        <v>0</v>
      </c>
      <c r="CG83" s="13">
        <v>4.2539999999999996</v>
      </c>
      <c r="CH83" s="13">
        <v>6.016</v>
      </c>
      <c r="CI83" s="13">
        <v>0</v>
      </c>
      <c r="CJ83" s="13">
        <v>27.367000000000001</v>
      </c>
      <c r="CK83" s="13">
        <v>8.2240000000000002</v>
      </c>
      <c r="CL83" s="13">
        <v>4.056</v>
      </c>
      <c r="CM83" s="13">
        <v>0</v>
      </c>
      <c r="CN83" s="13">
        <v>16.341000000000001</v>
      </c>
      <c r="CO83" s="13">
        <v>0</v>
      </c>
      <c r="CP83" s="13">
        <v>3.6320000000000001</v>
      </c>
      <c r="CQ83" s="13">
        <v>5.3949999999999996</v>
      </c>
      <c r="CR83" s="10">
        <v>0</v>
      </c>
      <c r="CS83" s="10">
        <v>0</v>
      </c>
      <c r="CT83" s="10">
        <v>0</v>
      </c>
      <c r="CU83" s="10">
        <v>0.21099999999999999</v>
      </c>
      <c r="CV83" s="10">
        <v>0</v>
      </c>
      <c r="CW83" s="10">
        <v>0</v>
      </c>
      <c r="CX83" s="10">
        <v>0</v>
      </c>
      <c r="CY83" s="10">
        <v>0</v>
      </c>
    </row>
    <row r="84" spans="1:103" x14ac:dyDescent="0.25">
      <c r="A84" s="5" t="s">
        <v>53</v>
      </c>
      <c r="B84" s="10">
        <v>30.483000000000001</v>
      </c>
      <c r="C84" s="10">
        <v>0</v>
      </c>
      <c r="D84" s="10">
        <v>1.528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39.590000000000003</v>
      </c>
      <c r="K84" s="10">
        <v>0</v>
      </c>
      <c r="L84" s="13">
        <v>0.48599999999999999</v>
      </c>
      <c r="M84" s="13">
        <v>0.57799999999999996</v>
      </c>
      <c r="N84" s="13">
        <v>0.48899999999999999</v>
      </c>
      <c r="O84" s="13">
        <v>0.251</v>
      </c>
      <c r="P84" s="13">
        <v>3.069</v>
      </c>
      <c r="Q84" s="13">
        <v>9.2100000000000009</v>
      </c>
      <c r="R84" s="13">
        <v>0</v>
      </c>
      <c r="S84" s="13">
        <v>3.508</v>
      </c>
      <c r="T84" s="13">
        <v>5.75</v>
      </c>
      <c r="U84" s="13">
        <v>3.5609999999999999</v>
      </c>
      <c r="V84" s="13">
        <v>1.3839999999999999</v>
      </c>
      <c r="W84" s="13">
        <v>0</v>
      </c>
      <c r="X84" s="13">
        <v>0</v>
      </c>
      <c r="Y84" s="13">
        <v>0</v>
      </c>
      <c r="Z84" s="13">
        <v>15.282</v>
      </c>
      <c r="AA84" s="13">
        <v>0</v>
      </c>
      <c r="AB84" s="13">
        <v>0</v>
      </c>
      <c r="AC84" s="13">
        <v>4.3390000000000004</v>
      </c>
      <c r="AD84" s="13">
        <v>0</v>
      </c>
      <c r="AE84" s="13">
        <v>0.91500000000000004</v>
      </c>
      <c r="AF84" s="13">
        <v>0</v>
      </c>
      <c r="AG84" s="13">
        <v>0</v>
      </c>
      <c r="AH84" s="13">
        <v>0</v>
      </c>
      <c r="AI84" s="13">
        <v>2.9569999999999999</v>
      </c>
      <c r="AJ84" s="13">
        <v>0</v>
      </c>
      <c r="AK84" s="13">
        <v>0</v>
      </c>
      <c r="AL84" s="13">
        <v>0</v>
      </c>
      <c r="AM84" s="13">
        <v>4.5339999999999998</v>
      </c>
      <c r="AN84" s="13">
        <v>0</v>
      </c>
      <c r="AO84" s="13">
        <v>0</v>
      </c>
      <c r="AP84" s="13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16.588999999999999</v>
      </c>
      <c r="AV84" s="10">
        <v>3.9430000000000001</v>
      </c>
      <c r="AW84" s="10">
        <v>0.20200000000000001</v>
      </c>
      <c r="AX84" s="10">
        <v>0</v>
      </c>
      <c r="AY84" s="10">
        <v>0</v>
      </c>
      <c r="AZ84" s="13">
        <v>0.32</v>
      </c>
      <c r="BA84" s="13">
        <v>0.438</v>
      </c>
      <c r="BB84" s="13">
        <v>0</v>
      </c>
      <c r="BC84" s="13">
        <v>0.67100000000000004</v>
      </c>
      <c r="BD84" s="13">
        <v>0</v>
      </c>
      <c r="BE84" s="13">
        <v>0</v>
      </c>
      <c r="BF84" s="13">
        <v>0</v>
      </c>
      <c r="BG84" s="13">
        <v>1.2949999999999999</v>
      </c>
      <c r="BH84" s="10">
        <v>1.2749999999999999</v>
      </c>
      <c r="BI84" s="10">
        <v>0</v>
      </c>
      <c r="BJ84" s="10">
        <v>0</v>
      </c>
      <c r="BK84" s="13">
        <v>0</v>
      </c>
      <c r="BL84" s="13">
        <v>30.599</v>
      </c>
      <c r="BM84" s="13">
        <v>14.02</v>
      </c>
      <c r="BN84" s="13">
        <v>0</v>
      </c>
      <c r="BO84" s="13">
        <v>3.3559999999999999</v>
      </c>
      <c r="BP84" s="13">
        <v>12.053000000000001</v>
      </c>
      <c r="BQ84" s="10">
        <v>0.23799999999999999</v>
      </c>
      <c r="BR84" s="10">
        <v>6.66</v>
      </c>
      <c r="BS84" s="10">
        <v>1.54</v>
      </c>
      <c r="BT84" s="10">
        <v>4.4459999999999997</v>
      </c>
      <c r="BU84" s="10">
        <v>0</v>
      </c>
      <c r="BV84" s="10">
        <v>0</v>
      </c>
      <c r="BW84" s="13">
        <v>0</v>
      </c>
      <c r="BX84" s="13">
        <v>0</v>
      </c>
      <c r="BY84" s="13">
        <v>1.768</v>
      </c>
      <c r="BZ84" s="13">
        <v>0</v>
      </c>
      <c r="CA84" s="13">
        <v>0</v>
      </c>
      <c r="CB84" s="13">
        <v>0</v>
      </c>
      <c r="CC84" s="13">
        <v>5.5819999999999999</v>
      </c>
      <c r="CD84" s="13">
        <v>15.395</v>
      </c>
      <c r="CE84" s="13">
        <v>2.7389999999999999</v>
      </c>
      <c r="CF84" s="13">
        <v>7.1660000000000004</v>
      </c>
      <c r="CG84" s="13">
        <v>0</v>
      </c>
      <c r="CH84" s="13">
        <v>3.2010000000000001</v>
      </c>
      <c r="CI84" s="13">
        <v>0</v>
      </c>
      <c r="CJ84" s="13">
        <v>1.383</v>
      </c>
      <c r="CK84" s="13">
        <v>2.9510000000000001</v>
      </c>
      <c r="CL84" s="13">
        <v>2.214</v>
      </c>
      <c r="CM84" s="13">
        <v>0</v>
      </c>
      <c r="CN84" s="13">
        <v>0.80700000000000005</v>
      </c>
      <c r="CO84" s="13">
        <v>0</v>
      </c>
      <c r="CP84" s="13">
        <v>0</v>
      </c>
      <c r="CQ84" s="13">
        <v>7.1</v>
      </c>
      <c r="CR84" s="10">
        <v>0</v>
      </c>
      <c r="CS84" s="10">
        <v>0</v>
      </c>
      <c r="CT84" s="10">
        <v>0</v>
      </c>
      <c r="CU84" s="10">
        <v>0.105</v>
      </c>
      <c r="CV84" s="10">
        <v>0</v>
      </c>
      <c r="CW84" s="10">
        <v>0</v>
      </c>
      <c r="CX84" s="10">
        <v>1.145</v>
      </c>
      <c r="CY84" s="10">
        <v>0</v>
      </c>
    </row>
    <row r="85" spans="1:103" x14ac:dyDescent="0.25">
      <c r="A85" s="5" t="s">
        <v>52</v>
      </c>
      <c r="B85" s="10">
        <v>30.483000000000001</v>
      </c>
      <c r="C85" s="10">
        <v>5.8310000000000004</v>
      </c>
      <c r="D85" s="10">
        <v>0.91700000000000004</v>
      </c>
      <c r="E85" s="10">
        <v>3.1549999999999998</v>
      </c>
      <c r="F85" s="10">
        <v>0.871</v>
      </c>
      <c r="G85" s="10">
        <v>18.931999999999999</v>
      </c>
      <c r="H85" s="10">
        <v>0</v>
      </c>
      <c r="I85" s="10">
        <v>0</v>
      </c>
      <c r="J85" s="10">
        <v>14.938000000000001</v>
      </c>
      <c r="K85" s="10">
        <v>14.781000000000001</v>
      </c>
      <c r="L85" s="13">
        <v>0.57799999999999996</v>
      </c>
      <c r="M85" s="13">
        <v>0</v>
      </c>
      <c r="N85" s="13">
        <v>0.48899999999999999</v>
      </c>
      <c r="O85" s="13">
        <v>0</v>
      </c>
      <c r="P85" s="13">
        <v>4.4829999999999997</v>
      </c>
      <c r="Q85" s="13">
        <v>1.488</v>
      </c>
      <c r="R85" s="13">
        <v>1.93</v>
      </c>
      <c r="S85" s="13">
        <v>1.6850000000000001</v>
      </c>
      <c r="T85" s="13">
        <v>4.2460000000000004</v>
      </c>
      <c r="U85" s="13">
        <v>3.5609999999999999</v>
      </c>
      <c r="V85" s="13">
        <v>1.3839999999999999</v>
      </c>
      <c r="W85" s="13">
        <v>0</v>
      </c>
      <c r="X85" s="13">
        <v>0</v>
      </c>
      <c r="Y85" s="13">
        <v>0</v>
      </c>
      <c r="Z85" s="13">
        <v>13.122999999999999</v>
      </c>
      <c r="AA85" s="13">
        <v>7.109</v>
      </c>
      <c r="AB85" s="13">
        <v>0</v>
      </c>
      <c r="AC85" s="13">
        <v>0</v>
      </c>
      <c r="AD85" s="13">
        <v>0</v>
      </c>
      <c r="AE85" s="13">
        <v>3.4540000000000002</v>
      </c>
      <c r="AF85" s="13">
        <v>0</v>
      </c>
      <c r="AG85" s="13">
        <v>1.524</v>
      </c>
      <c r="AH85" s="13">
        <v>0</v>
      </c>
      <c r="AI85" s="13">
        <v>1.883</v>
      </c>
      <c r="AJ85" s="13">
        <v>0</v>
      </c>
      <c r="AK85" s="13">
        <v>0</v>
      </c>
      <c r="AL85" s="13">
        <v>0</v>
      </c>
      <c r="AM85" s="13">
        <v>0</v>
      </c>
      <c r="AN85" s="13">
        <v>3.0619999999999998</v>
      </c>
      <c r="AO85" s="13">
        <v>0</v>
      </c>
      <c r="AP85" s="13">
        <v>0.22500000000000001</v>
      </c>
      <c r="AQ85" s="10">
        <v>3.3919999999999999</v>
      </c>
      <c r="AR85" s="10">
        <v>51.747</v>
      </c>
      <c r="AS85" s="10">
        <v>15.893000000000001</v>
      </c>
      <c r="AT85" s="10">
        <v>0</v>
      </c>
      <c r="AU85" s="10">
        <v>0</v>
      </c>
      <c r="AV85" s="10">
        <v>1.9710000000000001</v>
      </c>
      <c r="AW85" s="10">
        <v>0</v>
      </c>
      <c r="AX85" s="10">
        <v>0</v>
      </c>
      <c r="AY85" s="10">
        <v>0</v>
      </c>
      <c r="AZ85" s="13">
        <v>0.96099999999999997</v>
      </c>
      <c r="BA85" s="13">
        <v>0.438</v>
      </c>
      <c r="BB85" s="13">
        <v>0.36499999999999999</v>
      </c>
      <c r="BC85" s="13">
        <v>0</v>
      </c>
      <c r="BD85" s="13">
        <v>0</v>
      </c>
      <c r="BE85" s="13">
        <v>0</v>
      </c>
      <c r="BF85" s="13">
        <v>3.5030000000000001</v>
      </c>
      <c r="BG85" s="13">
        <v>1.2949999999999999</v>
      </c>
      <c r="BH85" s="10">
        <v>0</v>
      </c>
      <c r="BI85" s="10">
        <v>0</v>
      </c>
      <c r="BJ85" s="10">
        <v>2.9119999999999999</v>
      </c>
      <c r="BK85" s="13">
        <v>0</v>
      </c>
      <c r="BL85" s="13">
        <v>28.658000000000001</v>
      </c>
      <c r="BM85" s="13">
        <v>10.757</v>
      </c>
      <c r="BN85" s="13">
        <v>10.964</v>
      </c>
      <c r="BO85" s="13">
        <v>0</v>
      </c>
      <c r="BP85" s="13">
        <v>0</v>
      </c>
      <c r="BQ85" s="10">
        <v>0.252</v>
      </c>
      <c r="BR85" s="10">
        <v>2.5129999999999999</v>
      </c>
      <c r="BS85" s="10">
        <v>3.08</v>
      </c>
      <c r="BT85" s="10">
        <v>1.736</v>
      </c>
      <c r="BU85" s="10">
        <v>1.4059999999999999</v>
      </c>
      <c r="BV85" s="10">
        <v>2.25</v>
      </c>
      <c r="BW85" s="13">
        <v>0.97799999999999998</v>
      </c>
      <c r="BX85" s="13">
        <v>0</v>
      </c>
      <c r="BY85" s="13">
        <v>4.0449999999999999</v>
      </c>
      <c r="BZ85" s="13">
        <v>20.553000000000001</v>
      </c>
      <c r="CA85" s="13">
        <v>7.6920000000000002</v>
      </c>
      <c r="CB85" s="13">
        <v>0</v>
      </c>
      <c r="CC85" s="13">
        <v>12.510999999999999</v>
      </c>
      <c r="CD85" s="13">
        <v>17.363</v>
      </c>
      <c r="CE85" s="13">
        <v>0</v>
      </c>
      <c r="CF85" s="13">
        <v>20.172000000000001</v>
      </c>
      <c r="CG85" s="13">
        <v>2.552</v>
      </c>
      <c r="CH85" s="13">
        <v>0.95599999999999996</v>
      </c>
      <c r="CI85" s="13">
        <v>0</v>
      </c>
      <c r="CJ85" s="13">
        <v>0.68500000000000005</v>
      </c>
      <c r="CK85" s="13">
        <v>0</v>
      </c>
      <c r="CL85" s="13">
        <v>2.214</v>
      </c>
      <c r="CM85" s="13">
        <v>0</v>
      </c>
      <c r="CN85" s="13">
        <v>0</v>
      </c>
      <c r="CO85" s="13">
        <v>0</v>
      </c>
      <c r="CP85" s="13">
        <v>0</v>
      </c>
      <c r="CQ85" s="13">
        <v>14.502000000000001</v>
      </c>
      <c r="CR85" s="10">
        <v>0</v>
      </c>
      <c r="CS85" s="10">
        <v>0</v>
      </c>
      <c r="CT85" s="10">
        <v>0</v>
      </c>
      <c r="CU85" s="10">
        <v>0.21099999999999999</v>
      </c>
      <c r="CV85" s="10">
        <v>0</v>
      </c>
      <c r="CW85" s="10">
        <v>0</v>
      </c>
      <c r="CX85" s="10">
        <v>1.6040000000000001</v>
      </c>
      <c r="CY85" s="10">
        <v>0</v>
      </c>
    </row>
    <row r="86" spans="1:103" x14ac:dyDescent="0.25">
      <c r="A86" s="5" t="s">
        <v>51</v>
      </c>
      <c r="B86" s="10">
        <v>8.8130000000000006</v>
      </c>
      <c r="C86" s="10">
        <v>0</v>
      </c>
      <c r="D86" s="10">
        <v>1.222</v>
      </c>
      <c r="E86" s="10">
        <v>3.1549999999999998</v>
      </c>
      <c r="F86" s="10">
        <v>0</v>
      </c>
      <c r="G86" s="10">
        <v>27.998999999999999</v>
      </c>
      <c r="H86" s="10">
        <v>0</v>
      </c>
      <c r="I86" s="10">
        <v>0</v>
      </c>
      <c r="J86" s="10">
        <v>42.792999999999999</v>
      </c>
      <c r="K86" s="10">
        <v>14.443</v>
      </c>
      <c r="L86" s="13">
        <v>0</v>
      </c>
      <c r="M86" s="13">
        <v>5.2240000000000002</v>
      </c>
      <c r="N86" s="13">
        <v>0.24399999999999999</v>
      </c>
      <c r="O86" s="13">
        <v>0</v>
      </c>
      <c r="P86" s="13">
        <v>6.1159999999999997</v>
      </c>
      <c r="Q86" s="13">
        <v>2.976</v>
      </c>
      <c r="R86" s="13">
        <v>0</v>
      </c>
      <c r="S86" s="13">
        <v>0.72099999999999997</v>
      </c>
      <c r="T86" s="13">
        <v>1.264</v>
      </c>
      <c r="U86" s="13">
        <v>0</v>
      </c>
      <c r="V86" s="13">
        <v>3.625</v>
      </c>
      <c r="W86" s="13">
        <v>1.861</v>
      </c>
      <c r="X86" s="13">
        <v>0</v>
      </c>
      <c r="Y86" s="13">
        <v>0</v>
      </c>
      <c r="Z86" s="13">
        <v>21.364999999999998</v>
      </c>
      <c r="AA86" s="13">
        <v>0</v>
      </c>
      <c r="AB86" s="13">
        <v>0</v>
      </c>
      <c r="AC86" s="13">
        <v>3.7890000000000001</v>
      </c>
      <c r="AD86" s="13">
        <v>0</v>
      </c>
      <c r="AE86" s="13">
        <v>0.125</v>
      </c>
      <c r="AF86" s="13">
        <v>0</v>
      </c>
      <c r="AG86" s="13">
        <v>0</v>
      </c>
      <c r="AH86" s="13">
        <v>0</v>
      </c>
      <c r="AI86" s="13">
        <v>4.218</v>
      </c>
      <c r="AJ86" s="13">
        <v>0</v>
      </c>
      <c r="AK86" s="13">
        <v>0</v>
      </c>
      <c r="AL86" s="13">
        <v>0</v>
      </c>
      <c r="AM86" s="13">
        <v>16.300999999999998</v>
      </c>
      <c r="AN86" s="13">
        <v>0</v>
      </c>
      <c r="AO86" s="13">
        <v>0</v>
      </c>
      <c r="AP86" s="13">
        <v>0</v>
      </c>
      <c r="AQ86" s="10">
        <v>2.2669999999999999</v>
      </c>
      <c r="AR86" s="10">
        <v>32.847999999999999</v>
      </c>
      <c r="AS86" s="10">
        <v>6.4420000000000002</v>
      </c>
      <c r="AT86" s="10">
        <v>0</v>
      </c>
      <c r="AU86" s="10">
        <v>0</v>
      </c>
      <c r="AV86" s="10">
        <v>3.9430000000000001</v>
      </c>
      <c r="AW86" s="10">
        <v>0.60499999999999998</v>
      </c>
      <c r="AX86" s="10">
        <v>0</v>
      </c>
      <c r="AY86" s="10">
        <v>0</v>
      </c>
      <c r="AZ86" s="13">
        <v>0.32</v>
      </c>
      <c r="BA86" s="13">
        <v>0</v>
      </c>
      <c r="BB86" s="13">
        <v>0.70399999999999996</v>
      </c>
      <c r="BC86" s="13">
        <v>0</v>
      </c>
      <c r="BD86" s="13">
        <v>0.98299999999999998</v>
      </c>
      <c r="BE86" s="13">
        <v>5.0179999999999998</v>
      </c>
      <c r="BF86" s="13">
        <v>2.1389999999999998</v>
      </c>
      <c r="BG86" s="13">
        <v>1.4570000000000001</v>
      </c>
      <c r="BH86" s="10">
        <v>4.7949999999999999</v>
      </c>
      <c r="BI86" s="10">
        <v>0</v>
      </c>
      <c r="BJ86" s="10">
        <v>2.851</v>
      </c>
      <c r="BK86" s="13">
        <v>0</v>
      </c>
      <c r="BL86" s="13">
        <v>0</v>
      </c>
      <c r="BM86" s="13">
        <v>10.757</v>
      </c>
      <c r="BN86" s="13">
        <v>7.423</v>
      </c>
      <c r="BO86" s="13">
        <v>0</v>
      </c>
      <c r="BP86" s="13">
        <v>15.236000000000001</v>
      </c>
      <c r="BQ86" s="10">
        <v>0.222</v>
      </c>
      <c r="BR86" s="10">
        <v>4.1779999999999999</v>
      </c>
      <c r="BS86" s="10">
        <v>3.33</v>
      </c>
      <c r="BT86" s="10">
        <v>5.2069999999999999</v>
      </c>
      <c r="BU86" s="10">
        <v>2.6389999999999998</v>
      </c>
      <c r="BV86" s="10">
        <v>0</v>
      </c>
      <c r="BW86" s="13">
        <v>0.48899999999999999</v>
      </c>
      <c r="BX86" s="13">
        <v>0</v>
      </c>
      <c r="BY86" s="13">
        <v>0</v>
      </c>
      <c r="BZ86" s="13">
        <v>19.28</v>
      </c>
      <c r="CA86" s="13">
        <v>2.1280000000000001</v>
      </c>
      <c r="CB86" s="13">
        <v>0</v>
      </c>
      <c r="CC86" s="13">
        <v>16.745999999999999</v>
      </c>
      <c r="CD86" s="13">
        <v>18.826000000000001</v>
      </c>
      <c r="CE86" s="13">
        <v>18.047000000000001</v>
      </c>
      <c r="CF86" s="13">
        <v>6.3330000000000002</v>
      </c>
      <c r="CG86" s="13">
        <v>0</v>
      </c>
      <c r="CH86" s="13">
        <v>0</v>
      </c>
      <c r="CI86" s="13">
        <v>0</v>
      </c>
      <c r="CJ86" s="13">
        <v>0</v>
      </c>
      <c r="CK86" s="13">
        <v>0.14799999999999999</v>
      </c>
      <c r="CL86" s="13">
        <v>2.3239999999999998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0">
        <v>0</v>
      </c>
      <c r="CS86" s="10">
        <v>0</v>
      </c>
      <c r="CT86" s="10">
        <v>0</v>
      </c>
      <c r="CU86" s="10">
        <v>0.316</v>
      </c>
      <c r="CV86" s="10">
        <v>0</v>
      </c>
      <c r="CW86" s="10">
        <v>0</v>
      </c>
      <c r="CX86" s="10">
        <v>0</v>
      </c>
      <c r="CY86" s="10">
        <v>0</v>
      </c>
    </row>
    <row r="87" spans="1:103" x14ac:dyDescent="0.25">
      <c r="A87" s="5" t="s">
        <v>50</v>
      </c>
      <c r="B87" s="10">
        <v>9.1470000000000002</v>
      </c>
      <c r="C87" s="10">
        <v>0</v>
      </c>
      <c r="D87" s="10">
        <v>0.30599999999999999</v>
      </c>
      <c r="E87" s="10">
        <v>0</v>
      </c>
      <c r="F87" s="10">
        <v>0.60099999999999998</v>
      </c>
      <c r="G87" s="10">
        <v>2.2320000000000002</v>
      </c>
      <c r="H87" s="10">
        <v>0</v>
      </c>
      <c r="I87" s="10">
        <v>0</v>
      </c>
      <c r="J87" s="10">
        <v>32.119</v>
      </c>
      <c r="K87" s="10">
        <v>0</v>
      </c>
      <c r="L87" s="13">
        <v>5.2240000000000002</v>
      </c>
      <c r="M87" s="13">
        <v>1.5009999999999999</v>
      </c>
      <c r="N87" s="13">
        <v>0.24399999999999999</v>
      </c>
      <c r="O87" s="13">
        <v>0.18</v>
      </c>
      <c r="P87" s="13">
        <v>6.1159999999999997</v>
      </c>
      <c r="Q87" s="13">
        <v>0</v>
      </c>
      <c r="R87" s="13">
        <v>0</v>
      </c>
      <c r="S87" s="13">
        <v>1.6419999999999999</v>
      </c>
      <c r="T87" s="13">
        <v>2.0139999999999998</v>
      </c>
      <c r="U87" s="13">
        <v>1.7809999999999999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19.977</v>
      </c>
      <c r="AD87" s="13">
        <v>0</v>
      </c>
      <c r="AE87" s="13">
        <v>9.27</v>
      </c>
      <c r="AF87" s="13">
        <v>0</v>
      </c>
      <c r="AG87" s="13">
        <v>0.67900000000000005</v>
      </c>
      <c r="AH87" s="13">
        <v>0</v>
      </c>
      <c r="AI87" s="13">
        <v>2.3740000000000001</v>
      </c>
      <c r="AJ87" s="13">
        <v>0</v>
      </c>
      <c r="AK87" s="13">
        <v>0</v>
      </c>
      <c r="AL87" s="13">
        <v>10.006</v>
      </c>
      <c r="AM87" s="13">
        <v>0</v>
      </c>
      <c r="AN87" s="13">
        <v>0</v>
      </c>
      <c r="AO87" s="13">
        <v>3.282</v>
      </c>
      <c r="AP87" s="13">
        <v>1.847</v>
      </c>
      <c r="AQ87" s="10">
        <v>2.7069999999999999</v>
      </c>
      <c r="AR87" s="10">
        <v>0</v>
      </c>
      <c r="AS87" s="10">
        <v>0</v>
      </c>
      <c r="AT87" s="10">
        <v>0</v>
      </c>
      <c r="AU87" s="10">
        <v>4.7130000000000001</v>
      </c>
      <c r="AV87" s="10">
        <v>2.786</v>
      </c>
      <c r="AW87" s="10">
        <v>0.23</v>
      </c>
      <c r="AX87" s="10">
        <v>6.7480000000000002</v>
      </c>
      <c r="AY87" s="10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2.9489999999999998</v>
      </c>
      <c r="BE87" s="13">
        <v>2.2349999999999999</v>
      </c>
      <c r="BF87" s="13">
        <v>0</v>
      </c>
      <c r="BG87" s="13">
        <v>0.39300000000000002</v>
      </c>
      <c r="BH87" s="10">
        <v>1.3069999999999999</v>
      </c>
      <c r="BI87" s="10">
        <v>0</v>
      </c>
      <c r="BJ87" s="10">
        <v>1.4770000000000001</v>
      </c>
      <c r="BK87" s="13">
        <v>0</v>
      </c>
      <c r="BL87" s="13">
        <v>17.239999999999998</v>
      </c>
      <c r="BM87" s="13">
        <v>0</v>
      </c>
      <c r="BN87" s="13">
        <v>8.8699999999999992</v>
      </c>
      <c r="BO87" s="13">
        <v>0</v>
      </c>
      <c r="BP87" s="13">
        <v>14.432</v>
      </c>
      <c r="BQ87" s="10">
        <v>0</v>
      </c>
      <c r="BR87" s="10">
        <v>0</v>
      </c>
      <c r="BS87" s="10">
        <v>5.843</v>
      </c>
      <c r="BT87" s="10">
        <v>6.9420000000000002</v>
      </c>
      <c r="BU87" s="10">
        <v>2.6389999999999998</v>
      </c>
      <c r="BV87" s="10">
        <v>7.4710000000000001</v>
      </c>
      <c r="BW87" s="13">
        <v>0.48899999999999999</v>
      </c>
      <c r="BX87" s="13">
        <v>0</v>
      </c>
      <c r="BY87" s="13">
        <v>0</v>
      </c>
      <c r="BZ87" s="13">
        <v>9.8130000000000006</v>
      </c>
      <c r="CA87" s="13">
        <v>0</v>
      </c>
      <c r="CB87" s="13">
        <v>0</v>
      </c>
      <c r="CC87" s="13">
        <v>0</v>
      </c>
      <c r="CD87" s="13">
        <v>20.576000000000001</v>
      </c>
      <c r="CE87" s="13">
        <v>0.873</v>
      </c>
      <c r="CF87" s="13">
        <v>36.176000000000002</v>
      </c>
      <c r="CG87" s="13">
        <v>2.2650000000000001</v>
      </c>
      <c r="CH87" s="13">
        <v>3.605</v>
      </c>
      <c r="CI87" s="13">
        <v>0</v>
      </c>
      <c r="CJ87" s="13">
        <v>7.0620000000000003</v>
      </c>
      <c r="CK87" s="13">
        <v>5.8710000000000004</v>
      </c>
      <c r="CL87" s="13">
        <v>0.89900000000000002</v>
      </c>
      <c r="CM87" s="13">
        <v>0</v>
      </c>
      <c r="CN87" s="13">
        <v>6.2450000000000001</v>
      </c>
      <c r="CO87" s="13">
        <v>3.6589999999999998</v>
      </c>
      <c r="CP87" s="13">
        <v>0</v>
      </c>
      <c r="CQ87" s="13">
        <v>5.2439999999999998</v>
      </c>
      <c r="CR87" s="10">
        <v>0</v>
      </c>
      <c r="CS87" s="10">
        <v>0</v>
      </c>
      <c r="CT87" s="10">
        <v>0</v>
      </c>
      <c r="CU87" s="10">
        <v>0</v>
      </c>
      <c r="CV87" s="10">
        <v>8.8079999999999998</v>
      </c>
      <c r="CW87" s="10">
        <v>0</v>
      </c>
      <c r="CX87" s="10">
        <v>0.53500000000000003</v>
      </c>
      <c r="CY87" s="10">
        <v>0</v>
      </c>
    </row>
    <row r="88" spans="1:103" x14ac:dyDescent="0.25">
      <c r="A88" s="5" t="s">
        <v>49</v>
      </c>
      <c r="B88" s="10">
        <v>7.0579999999999998</v>
      </c>
      <c r="C88" s="10">
        <v>0</v>
      </c>
      <c r="D88" s="10">
        <v>0.36299999999999999</v>
      </c>
      <c r="E88" s="10">
        <v>3.1549999999999998</v>
      </c>
      <c r="F88" s="10">
        <v>0.30099999999999999</v>
      </c>
      <c r="G88" s="10">
        <v>0.39900000000000002</v>
      </c>
      <c r="H88" s="10">
        <v>0</v>
      </c>
      <c r="I88" s="10">
        <v>0</v>
      </c>
      <c r="J88" s="10">
        <v>0</v>
      </c>
      <c r="K88" s="10">
        <v>0</v>
      </c>
      <c r="L88" s="13">
        <v>1.5009999999999999</v>
      </c>
      <c r="M88" s="13">
        <v>3.0019999999999998</v>
      </c>
      <c r="N88" s="13">
        <v>0</v>
      </c>
      <c r="O88" s="13">
        <v>0.54</v>
      </c>
      <c r="P88" s="13">
        <v>0</v>
      </c>
      <c r="Q88" s="13">
        <v>1.488</v>
      </c>
      <c r="R88" s="13">
        <v>2.0670000000000002</v>
      </c>
      <c r="S88" s="13">
        <v>2.0579999999999998</v>
      </c>
      <c r="T88" s="13">
        <v>1.0069999999999999</v>
      </c>
      <c r="U88" s="13">
        <v>0</v>
      </c>
      <c r="V88" s="13">
        <v>1.5860000000000001</v>
      </c>
      <c r="W88" s="13">
        <v>0</v>
      </c>
      <c r="X88" s="13">
        <v>0</v>
      </c>
      <c r="Y88" s="13">
        <v>0</v>
      </c>
      <c r="Z88" s="13">
        <v>7.085</v>
      </c>
      <c r="AA88" s="13">
        <v>0</v>
      </c>
      <c r="AB88" s="13">
        <v>0</v>
      </c>
      <c r="AC88" s="13">
        <v>4.5839999999999996</v>
      </c>
      <c r="AD88" s="13">
        <v>0</v>
      </c>
      <c r="AE88" s="13">
        <v>3.181</v>
      </c>
      <c r="AF88" s="13">
        <v>1.6080000000000001</v>
      </c>
      <c r="AG88" s="13">
        <v>0</v>
      </c>
      <c r="AH88" s="13">
        <v>1.536</v>
      </c>
      <c r="AI88" s="13">
        <v>0.94199999999999995</v>
      </c>
      <c r="AJ88" s="13">
        <v>0</v>
      </c>
      <c r="AK88" s="13">
        <v>0</v>
      </c>
      <c r="AL88" s="13">
        <v>8.6720000000000006</v>
      </c>
      <c r="AM88" s="13">
        <v>0</v>
      </c>
      <c r="AN88" s="13">
        <v>0</v>
      </c>
      <c r="AO88" s="13">
        <v>0</v>
      </c>
      <c r="AP88" s="13">
        <v>0</v>
      </c>
      <c r="AQ88" s="10">
        <v>2.2669999999999999</v>
      </c>
      <c r="AR88" s="10">
        <v>10.766999999999999</v>
      </c>
      <c r="AS88" s="10">
        <v>0</v>
      </c>
      <c r="AT88" s="10">
        <v>0</v>
      </c>
      <c r="AU88" s="10">
        <v>2.4500000000000002</v>
      </c>
      <c r="AV88" s="10">
        <v>11.813000000000001</v>
      </c>
      <c r="AW88" s="10">
        <v>0</v>
      </c>
      <c r="AX88" s="10">
        <v>0</v>
      </c>
      <c r="AY88" s="10">
        <v>0</v>
      </c>
      <c r="AZ88" s="13">
        <v>0</v>
      </c>
      <c r="BA88" s="13">
        <v>0.438</v>
      </c>
      <c r="BB88" s="13">
        <v>0</v>
      </c>
      <c r="BC88" s="13">
        <v>0</v>
      </c>
      <c r="BD88" s="13">
        <v>0</v>
      </c>
      <c r="BE88" s="13">
        <v>4.47</v>
      </c>
      <c r="BF88" s="13">
        <v>2.2429999999999999</v>
      </c>
      <c r="BG88" s="13">
        <v>0.16400000000000001</v>
      </c>
      <c r="BH88" s="10">
        <v>1.5980000000000001</v>
      </c>
      <c r="BI88" s="10">
        <v>0</v>
      </c>
      <c r="BJ88" s="10">
        <v>1.4259999999999999</v>
      </c>
      <c r="BK88" s="13">
        <v>0</v>
      </c>
      <c r="BL88" s="13">
        <v>4.3339999999999996</v>
      </c>
      <c r="BM88" s="13">
        <v>36.427999999999997</v>
      </c>
      <c r="BN88" s="13">
        <v>0</v>
      </c>
      <c r="BO88" s="13">
        <v>0</v>
      </c>
      <c r="BP88" s="13">
        <v>9.9</v>
      </c>
      <c r="BQ88" s="10">
        <v>0.222</v>
      </c>
      <c r="BR88" s="10">
        <v>1.01</v>
      </c>
      <c r="BS88" s="10">
        <v>6.66</v>
      </c>
      <c r="BT88" s="10">
        <v>0</v>
      </c>
      <c r="BU88" s="10">
        <v>1.319</v>
      </c>
      <c r="BV88" s="10">
        <v>0</v>
      </c>
      <c r="BW88" s="13">
        <v>0.97799999999999998</v>
      </c>
      <c r="BX88" s="13">
        <v>0</v>
      </c>
      <c r="BY88" s="13">
        <v>9.3059999999999992</v>
      </c>
      <c r="BZ88" s="13">
        <v>43.137999999999998</v>
      </c>
      <c r="CA88" s="13">
        <v>0</v>
      </c>
      <c r="CB88" s="13">
        <v>0</v>
      </c>
      <c r="CC88" s="13">
        <v>17.012</v>
      </c>
      <c r="CD88" s="13">
        <v>20.727</v>
      </c>
      <c r="CE88" s="13">
        <v>6.016</v>
      </c>
      <c r="CF88" s="13">
        <v>0</v>
      </c>
      <c r="CG88" s="13">
        <v>0</v>
      </c>
      <c r="CH88" s="13">
        <v>3.605</v>
      </c>
      <c r="CI88" s="13">
        <v>2.8159999999999998</v>
      </c>
      <c r="CJ88" s="13">
        <v>3.08</v>
      </c>
      <c r="CK88" s="13">
        <v>0.98699999999999999</v>
      </c>
      <c r="CL88" s="13">
        <v>0.34899999999999998</v>
      </c>
      <c r="CM88" s="13">
        <v>0.79300000000000004</v>
      </c>
      <c r="CN88" s="13">
        <v>19.038</v>
      </c>
      <c r="CO88" s="13">
        <v>0</v>
      </c>
      <c r="CP88" s="13">
        <v>0</v>
      </c>
      <c r="CQ88" s="13">
        <v>8.2230000000000008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>
        <v>0</v>
      </c>
      <c r="CX88" s="10">
        <v>1.069</v>
      </c>
      <c r="CY88" s="10">
        <v>0</v>
      </c>
    </row>
    <row r="89" spans="1:103" x14ac:dyDescent="0.25">
      <c r="A89" s="5" t="s">
        <v>48</v>
      </c>
      <c r="B89" s="10">
        <v>13.157999999999999</v>
      </c>
      <c r="C89" s="10">
        <v>0</v>
      </c>
      <c r="D89" s="10">
        <v>0.72499999999999998</v>
      </c>
      <c r="E89" s="10">
        <v>1.641</v>
      </c>
      <c r="F89" s="10">
        <v>0.30099999999999999</v>
      </c>
      <c r="G89" s="10">
        <v>0</v>
      </c>
      <c r="H89" s="10">
        <v>25.657</v>
      </c>
      <c r="I89" s="10">
        <v>0</v>
      </c>
      <c r="J89" s="10">
        <v>0</v>
      </c>
      <c r="K89" s="10">
        <v>0</v>
      </c>
      <c r="L89" s="13">
        <v>3.0019999999999998</v>
      </c>
      <c r="M89" s="13">
        <v>0.751</v>
      </c>
      <c r="N89" s="13">
        <v>0</v>
      </c>
      <c r="O89" s="13">
        <v>0.18</v>
      </c>
      <c r="P89" s="13">
        <v>0</v>
      </c>
      <c r="Q89" s="13">
        <v>0</v>
      </c>
      <c r="R89" s="13">
        <v>0</v>
      </c>
      <c r="S89" s="13">
        <v>0.48899999999999999</v>
      </c>
      <c r="T89" s="13">
        <v>2.27</v>
      </c>
      <c r="U89" s="13">
        <v>3.7389999999999999</v>
      </c>
      <c r="V89" s="13">
        <v>0.79300000000000004</v>
      </c>
      <c r="W89" s="13">
        <v>0</v>
      </c>
      <c r="X89" s="13">
        <v>0</v>
      </c>
      <c r="Y89" s="13">
        <v>0</v>
      </c>
      <c r="Z89" s="13">
        <v>2.79</v>
      </c>
      <c r="AA89" s="13">
        <v>4.4880000000000004</v>
      </c>
      <c r="AB89" s="13">
        <v>0</v>
      </c>
      <c r="AC89" s="13">
        <v>0.83199999999999996</v>
      </c>
      <c r="AD89" s="13">
        <v>0</v>
      </c>
      <c r="AE89" s="13">
        <v>3.181</v>
      </c>
      <c r="AF89" s="13">
        <v>0</v>
      </c>
      <c r="AG89" s="13">
        <v>2.036</v>
      </c>
      <c r="AH89" s="13">
        <v>9.0920000000000005</v>
      </c>
      <c r="AI89" s="13">
        <v>1.681</v>
      </c>
      <c r="AJ89" s="13">
        <v>0</v>
      </c>
      <c r="AK89" s="13">
        <v>0</v>
      </c>
      <c r="AL89" s="13">
        <v>2.891</v>
      </c>
      <c r="AM89" s="13">
        <v>0</v>
      </c>
      <c r="AN89" s="13">
        <v>7.3040000000000003</v>
      </c>
      <c r="AO89" s="13">
        <v>5.7220000000000004</v>
      </c>
      <c r="AP89" s="13">
        <v>14.337999999999999</v>
      </c>
      <c r="AQ89" s="10">
        <v>3.6469999999999998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0.47199999999999998</v>
      </c>
      <c r="AX89" s="10">
        <v>0</v>
      </c>
      <c r="AY89" s="10">
        <v>0</v>
      </c>
      <c r="AZ89" s="13">
        <v>3.1469999999999998</v>
      </c>
      <c r="BA89" s="13">
        <v>0.92300000000000004</v>
      </c>
      <c r="BB89" s="13">
        <v>0.70399999999999996</v>
      </c>
      <c r="BC89" s="13">
        <v>0</v>
      </c>
      <c r="BD89" s="13">
        <v>0.67700000000000005</v>
      </c>
      <c r="BE89" s="13">
        <v>2.2349999999999999</v>
      </c>
      <c r="BF89" s="13">
        <v>4.4850000000000003</v>
      </c>
      <c r="BG89" s="13">
        <v>9.8000000000000004E-2</v>
      </c>
      <c r="BH89" s="10">
        <v>4.7949999999999999</v>
      </c>
      <c r="BI89" s="10">
        <v>1.056</v>
      </c>
      <c r="BJ89" s="10">
        <v>2.851</v>
      </c>
      <c r="BK89" s="13">
        <v>0</v>
      </c>
      <c r="BL89" s="13">
        <v>8.17</v>
      </c>
      <c r="BM89" s="13">
        <v>0</v>
      </c>
      <c r="BN89" s="13">
        <v>11.44</v>
      </c>
      <c r="BO89" s="13">
        <v>0</v>
      </c>
      <c r="BP89" s="13">
        <v>31.707000000000001</v>
      </c>
      <c r="BQ89" s="10">
        <v>0</v>
      </c>
      <c r="BR89" s="10">
        <v>2.5579999999999998</v>
      </c>
      <c r="BS89" s="10">
        <v>2.5129999999999999</v>
      </c>
      <c r="BT89" s="10">
        <v>0</v>
      </c>
      <c r="BU89" s="10">
        <v>1.319</v>
      </c>
      <c r="BV89" s="10">
        <v>4.4820000000000002</v>
      </c>
      <c r="BW89" s="13">
        <v>1.4670000000000001</v>
      </c>
      <c r="BX89" s="13">
        <v>0</v>
      </c>
      <c r="BY89" s="13">
        <v>0</v>
      </c>
      <c r="BZ89" s="13">
        <v>17.079999999999998</v>
      </c>
      <c r="CA89" s="13">
        <v>0</v>
      </c>
      <c r="CB89" s="13">
        <v>0</v>
      </c>
      <c r="CC89" s="13">
        <v>0</v>
      </c>
      <c r="CD89" s="13">
        <v>0</v>
      </c>
      <c r="CE89" s="13">
        <v>13.090999999999999</v>
      </c>
      <c r="CF89" s="13">
        <v>38.5</v>
      </c>
      <c r="CG89" s="13">
        <v>0</v>
      </c>
      <c r="CH89" s="13">
        <v>1.5660000000000001</v>
      </c>
      <c r="CI89" s="13">
        <v>0</v>
      </c>
      <c r="CJ89" s="13">
        <v>0</v>
      </c>
      <c r="CK89" s="13">
        <v>0</v>
      </c>
      <c r="CL89" s="13">
        <v>0</v>
      </c>
      <c r="CM89" s="13">
        <v>1.5860000000000001</v>
      </c>
      <c r="CN89" s="13">
        <v>3.6629999999999998</v>
      </c>
      <c r="CO89" s="13">
        <v>0</v>
      </c>
      <c r="CP89" s="13">
        <v>0</v>
      </c>
      <c r="CQ89" s="13">
        <v>0</v>
      </c>
      <c r="CR89" s="10">
        <v>0</v>
      </c>
      <c r="CS89" s="10">
        <v>0</v>
      </c>
      <c r="CT89" s="10">
        <v>0</v>
      </c>
      <c r="CU89" s="10">
        <v>1.508</v>
      </c>
      <c r="CV89" s="10">
        <v>0</v>
      </c>
      <c r="CW89" s="10">
        <v>0</v>
      </c>
      <c r="CX89" s="10">
        <v>0</v>
      </c>
      <c r="CY89" s="10">
        <v>0</v>
      </c>
    </row>
    <row r="90" spans="1:103" x14ac:dyDescent="0.25">
      <c r="A90" s="5" t="s">
        <v>47</v>
      </c>
      <c r="B90" s="10">
        <v>7.0579999999999998</v>
      </c>
      <c r="C90" s="10">
        <v>0</v>
      </c>
      <c r="D90" s="10">
        <v>1.8140000000000001</v>
      </c>
      <c r="E90" s="10">
        <v>0</v>
      </c>
      <c r="F90" s="10">
        <v>0.30099999999999999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3">
        <v>0.751</v>
      </c>
      <c r="M90" s="13">
        <v>0</v>
      </c>
      <c r="N90" s="13">
        <v>0</v>
      </c>
      <c r="O90" s="13">
        <v>0.18</v>
      </c>
      <c r="P90" s="13">
        <v>2.4460000000000002</v>
      </c>
      <c r="Q90" s="13">
        <v>0.65900000000000003</v>
      </c>
      <c r="R90" s="13">
        <v>0</v>
      </c>
      <c r="S90" s="13">
        <v>0.42599999999999999</v>
      </c>
      <c r="T90" s="13">
        <v>3.0209999999999999</v>
      </c>
      <c r="U90" s="13">
        <v>1.246</v>
      </c>
      <c r="V90" s="13">
        <v>1.5860000000000001</v>
      </c>
      <c r="W90" s="13">
        <v>0</v>
      </c>
      <c r="X90" s="13">
        <v>0.34300000000000003</v>
      </c>
      <c r="Y90" s="13">
        <v>1.1850000000000001</v>
      </c>
      <c r="Z90" s="13">
        <v>7.085</v>
      </c>
      <c r="AA90" s="13">
        <v>2.391</v>
      </c>
      <c r="AB90" s="13">
        <v>0</v>
      </c>
      <c r="AC90" s="13">
        <v>12.919</v>
      </c>
      <c r="AD90" s="13">
        <v>2.0529999999999999</v>
      </c>
      <c r="AE90" s="13">
        <v>2.4689999999999999</v>
      </c>
      <c r="AF90" s="13">
        <v>3.2170000000000001</v>
      </c>
      <c r="AG90" s="13">
        <v>1.357</v>
      </c>
      <c r="AH90" s="13">
        <v>6.02</v>
      </c>
      <c r="AI90" s="13">
        <v>5.2809999999999997</v>
      </c>
      <c r="AJ90" s="13">
        <v>0</v>
      </c>
      <c r="AK90" s="13">
        <v>0</v>
      </c>
      <c r="AL90" s="13">
        <v>0</v>
      </c>
      <c r="AM90" s="13">
        <v>8.3369999999999997</v>
      </c>
      <c r="AN90" s="13">
        <v>0</v>
      </c>
      <c r="AO90" s="13">
        <v>5.8010000000000002</v>
      </c>
      <c r="AP90" s="13">
        <v>6.9169999999999998</v>
      </c>
      <c r="AQ90" s="10">
        <v>8.3520000000000003</v>
      </c>
      <c r="AR90" s="10">
        <v>0</v>
      </c>
      <c r="AS90" s="10">
        <v>0</v>
      </c>
      <c r="AT90" s="10">
        <v>0</v>
      </c>
      <c r="AU90" s="10">
        <v>8.0039999999999996</v>
      </c>
      <c r="AV90" s="10">
        <v>3.778</v>
      </c>
      <c r="AW90" s="10">
        <v>0.47199999999999998</v>
      </c>
      <c r="AX90" s="10">
        <v>2.0089999999999999</v>
      </c>
      <c r="AY90" s="10">
        <v>0</v>
      </c>
      <c r="AZ90" s="13">
        <v>0.94699999999999995</v>
      </c>
      <c r="BA90" s="13">
        <v>0.92300000000000004</v>
      </c>
      <c r="BB90" s="13">
        <v>1.282</v>
      </c>
      <c r="BC90" s="13">
        <v>0</v>
      </c>
      <c r="BD90" s="13">
        <v>0</v>
      </c>
      <c r="BE90" s="13">
        <v>6.7039999999999997</v>
      </c>
      <c r="BF90" s="13">
        <v>2.8149999999999999</v>
      </c>
      <c r="BG90" s="13">
        <v>0.20399999999999999</v>
      </c>
      <c r="BH90" s="10">
        <v>0</v>
      </c>
      <c r="BI90" s="10">
        <v>1.056</v>
      </c>
      <c r="BJ90" s="10">
        <v>1.4259999999999999</v>
      </c>
      <c r="BK90" s="13">
        <v>0</v>
      </c>
      <c r="BL90" s="13">
        <v>8.17</v>
      </c>
      <c r="BM90" s="13">
        <v>48.570999999999998</v>
      </c>
      <c r="BN90" s="13">
        <v>0</v>
      </c>
      <c r="BO90" s="13">
        <v>0</v>
      </c>
      <c r="BP90" s="13">
        <v>8.6370000000000005</v>
      </c>
      <c r="BQ90" s="10">
        <v>0</v>
      </c>
      <c r="BR90" s="10">
        <v>2.0209999999999999</v>
      </c>
      <c r="BS90" s="10">
        <v>4.1779999999999999</v>
      </c>
      <c r="BT90" s="10">
        <v>2.4969999999999999</v>
      </c>
      <c r="BU90" s="10">
        <v>1.319</v>
      </c>
      <c r="BV90" s="10">
        <v>0</v>
      </c>
      <c r="BW90" s="13">
        <v>0.31</v>
      </c>
      <c r="BX90" s="13">
        <v>0.85</v>
      </c>
      <c r="BY90" s="13">
        <v>1.25</v>
      </c>
      <c r="BZ90" s="13">
        <v>0</v>
      </c>
      <c r="CA90" s="13">
        <v>0</v>
      </c>
      <c r="CB90" s="13">
        <v>0</v>
      </c>
      <c r="CC90" s="13">
        <v>0</v>
      </c>
      <c r="CD90" s="13">
        <v>33.353000000000002</v>
      </c>
      <c r="CE90" s="13">
        <v>0</v>
      </c>
      <c r="CF90" s="13">
        <v>0</v>
      </c>
      <c r="CG90" s="13">
        <v>2.702</v>
      </c>
      <c r="CH90" s="13">
        <v>5.39</v>
      </c>
      <c r="CI90" s="13">
        <v>4.742</v>
      </c>
      <c r="CJ90" s="13">
        <v>0</v>
      </c>
      <c r="CK90" s="13">
        <v>0</v>
      </c>
      <c r="CL90" s="13">
        <v>0.64</v>
      </c>
      <c r="CM90" s="13">
        <v>0</v>
      </c>
      <c r="CN90" s="13">
        <v>3.6629999999999998</v>
      </c>
      <c r="CO90" s="13">
        <v>7.319</v>
      </c>
      <c r="CP90" s="13">
        <v>0</v>
      </c>
      <c r="CQ90" s="13">
        <v>0</v>
      </c>
      <c r="CR90" s="10">
        <v>0</v>
      </c>
      <c r="CS90" s="10">
        <v>4.3550000000000004</v>
      </c>
      <c r="CT90" s="10">
        <v>4.8090000000000002</v>
      </c>
      <c r="CU90" s="10">
        <v>1.508</v>
      </c>
      <c r="CV90" s="10">
        <v>0</v>
      </c>
      <c r="CW90" s="10">
        <v>0</v>
      </c>
      <c r="CX90" s="10">
        <v>0</v>
      </c>
      <c r="CY90" s="10">
        <v>0</v>
      </c>
    </row>
    <row r="91" spans="1:103" x14ac:dyDescent="0.25">
      <c r="A91" s="5" t="s">
        <v>46</v>
      </c>
      <c r="B91" s="10">
        <v>11.182</v>
      </c>
      <c r="C91" s="10">
        <v>0</v>
      </c>
      <c r="D91" s="10">
        <v>0</v>
      </c>
      <c r="E91" s="10">
        <v>6.5650000000000004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3">
        <v>0</v>
      </c>
      <c r="M91" s="13">
        <v>5.133</v>
      </c>
      <c r="N91" s="13">
        <v>0</v>
      </c>
      <c r="O91" s="13">
        <v>0.29899999999999999</v>
      </c>
      <c r="P91" s="13">
        <v>0</v>
      </c>
      <c r="Q91" s="13">
        <v>0.65900000000000003</v>
      </c>
      <c r="R91" s="13">
        <v>0</v>
      </c>
      <c r="S91" s="13">
        <v>0</v>
      </c>
      <c r="T91" s="13">
        <v>3.0190000000000001</v>
      </c>
      <c r="U91" s="13">
        <v>6.2309999999999999</v>
      </c>
      <c r="V91" s="13">
        <v>0.88100000000000001</v>
      </c>
      <c r="W91" s="13">
        <v>0</v>
      </c>
      <c r="X91" s="13">
        <v>0.68500000000000005</v>
      </c>
      <c r="Y91" s="13">
        <v>0</v>
      </c>
      <c r="Z91" s="13">
        <v>14.901</v>
      </c>
      <c r="AA91" s="13">
        <v>0</v>
      </c>
      <c r="AB91" s="13">
        <v>0</v>
      </c>
      <c r="AC91" s="13">
        <v>0</v>
      </c>
      <c r="AD91" s="13">
        <v>12.747</v>
      </c>
      <c r="AE91" s="13">
        <v>5.2510000000000003</v>
      </c>
      <c r="AF91" s="13">
        <v>1.5609999999999999</v>
      </c>
      <c r="AG91" s="13">
        <v>0.87</v>
      </c>
      <c r="AH91" s="13">
        <v>0</v>
      </c>
      <c r="AI91" s="13">
        <v>5.5430000000000001</v>
      </c>
      <c r="AJ91" s="13">
        <v>0</v>
      </c>
      <c r="AK91" s="13">
        <v>0</v>
      </c>
      <c r="AL91" s="13">
        <v>3.2040000000000002</v>
      </c>
      <c r="AM91" s="13">
        <v>0</v>
      </c>
      <c r="AN91" s="13">
        <v>0</v>
      </c>
      <c r="AO91" s="13">
        <v>16.896000000000001</v>
      </c>
      <c r="AP91" s="13">
        <v>4.2140000000000004</v>
      </c>
      <c r="AQ91" s="10">
        <v>15.965999999999999</v>
      </c>
      <c r="AR91" s="10">
        <v>2.7509999999999999</v>
      </c>
      <c r="AS91" s="10">
        <v>6.4420000000000002</v>
      </c>
      <c r="AT91" s="10">
        <v>0</v>
      </c>
      <c r="AU91" s="10">
        <v>0</v>
      </c>
      <c r="AV91" s="10">
        <v>7.556</v>
      </c>
      <c r="AW91" s="10">
        <v>0.47199999999999998</v>
      </c>
      <c r="AX91" s="10">
        <v>0</v>
      </c>
      <c r="AY91" s="10">
        <v>0</v>
      </c>
      <c r="AZ91" s="13">
        <v>2.1989999999999998</v>
      </c>
      <c r="BA91" s="13">
        <v>0</v>
      </c>
      <c r="BB91" s="13">
        <v>0.90500000000000003</v>
      </c>
      <c r="BC91" s="13">
        <v>0</v>
      </c>
      <c r="BD91" s="13">
        <v>0.67700000000000005</v>
      </c>
      <c r="BE91" s="13">
        <v>0</v>
      </c>
      <c r="BF91" s="13">
        <v>1.67</v>
      </c>
      <c r="BG91" s="13">
        <v>0.316</v>
      </c>
      <c r="BH91" s="10">
        <v>1.5369999999999999</v>
      </c>
      <c r="BI91" s="10">
        <v>0</v>
      </c>
      <c r="BJ91" s="10">
        <v>0</v>
      </c>
      <c r="BK91" s="13">
        <v>0</v>
      </c>
      <c r="BL91" s="13">
        <v>0</v>
      </c>
      <c r="BM91" s="13">
        <v>12.143000000000001</v>
      </c>
      <c r="BN91" s="13">
        <v>5.72</v>
      </c>
      <c r="BO91" s="13">
        <v>1.94</v>
      </c>
      <c r="BP91" s="13">
        <v>8.6370000000000005</v>
      </c>
      <c r="BQ91" s="10">
        <v>2.2810000000000001</v>
      </c>
      <c r="BR91" s="10">
        <v>2.0209999999999999</v>
      </c>
      <c r="BS91" s="10">
        <v>0</v>
      </c>
      <c r="BT91" s="10">
        <v>0</v>
      </c>
      <c r="BU91" s="10">
        <v>0</v>
      </c>
      <c r="BV91" s="10">
        <v>2.988</v>
      </c>
      <c r="BW91" s="13">
        <v>0.92900000000000005</v>
      </c>
      <c r="BX91" s="13">
        <v>0</v>
      </c>
      <c r="BY91" s="13">
        <v>0</v>
      </c>
      <c r="BZ91" s="13">
        <v>11.992000000000001</v>
      </c>
      <c r="CA91" s="13">
        <v>0</v>
      </c>
      <c r="CB91" s="13">
        <v>0</v>
      </c>
      <c r="CC91" s="13">
        <v>0.872</v>
      </c>
      <c r="CD91" s="13">
        <v>0</v>
      </c>
      <c r="CE91" s="13">
        <v>0</v>
      </c>
      <c r="CF91" s="13">
        <v>0</v>
      </c>
      <c r="CG91" s="13">
        <v>0</v>
      </c>
      <c r="CH91" s="13">
        <v>2.3980000000000001</v>
      </c>
      <c r="CI91" s="13">
        <v>0</v>
      </c>
      <c r="CJ91" s="13">
        <v>12.209</v>
      </c>
      <c r="CK91" s="13">
        <v>0</v>
      </c>
      <c r="CL91" s="13">
        <v>0.76500000000000001</v>
      </c>
      <c r="CM91" s="13">
        <v>0.441</v>
      </c>
      <c r="CN91" s="13">
        <v>10.989000000000001</v>
      </c>
      <c r="CO91" s="13">
        <v>0</v>
      </c>
      <c r="CP91" s="13">
        <v>0</v>
      </c>
      <c r="CQ91" s="13">
        <v>0</v>
      </c>
      <c r="CR91" s="10">
        <v>0</v>
      </c>
      <c r="CS91" s="10">
        <v>0</v>
      </c>
      <c r="CT91" s="10">
        <v>0</v>
      </c>
      <c r="CU91" s="10">
        <v>0.503</v>
      </c>
      <c r="CV91" s="10">
        <v>0</v>
      </c>
      <c r="CW91" s="10">
        <v>20.934000000000001</v>
      </c>
      <c r="CX91" s="10">
        <v>0</v>
      </c>
      <c r="CY91" s="10">
        <v>0</v>
      </c>
    </row>
    <row r="92" spans="1:103" x14ac:dyDescent="0.25">
      <c r="A92" s="5" t="s">
        <v>45</v>
      </c>
      <c r="B92" s="10">
        <v>34.521999999999998</v>
      </c>
      <c r="C92" s="10">
        <v>0</v>
      </c>
      <c r="D92" s="10">
        <v>0.36299999999999999</v>
      </c>
      <c r="E92" s="10">
        <v>1.641</v>
      </c>
      <c r="F92" s="10">
        <v>0</v>
      </c>
      <c r="G92" s="10">
        <v>7.3140000000000001</v>
      </c>
      <c r="H92" s="10">
        <v>18.3</v>
      </c>
      <c r="I92" s="10">
        <v>0</v>
      </c>
      <c r="J92" s="10">
        <v>0</v>
      </c>
      <c r="K92" s="10">
        <v>0</v>
      </c>
      <c r="L92" s="13">
        <v>5.133</v>
      </c>
      <c r="M92" s="13">
        <v>0</v>
      </c>
      <c r="N92" s="13">
        <v>0</v>
      </c>
      <c r="O92" s="13">
        <v>0.14899999999999999</v>
      </c>
      <c r="P92" s="13">
        <v>0.85699999999999998</v>
      </c>
      <c r="Q92" s="13">
        <v>3.2949999999999999</v>
      </c>
      <c r="R92" s="13">
        <v>0</v>
      </c>
      <c r="S92" s="13">
        <v>1.4570000000000001</v>
      </c>
      <c r="T92" s="13">
        <v>1.603</v>
      </c>
      <c r="U92" s="13">
        <v>0</v>
      </c>
      <c r="V92" s="13">
        <v>4.6509999999999998</v>
      </c>
      <c r="W92" s="13">
        <v>0</v>
      </c>
      <c r="X92" s="13">
        <v>0</v>
      </c>
      <c r="Y92" s="13">
        <v>1.1850000000000001</v>
      </c>
      <c r="Z92" s="13">
        <v>6.5190000000000001</v>
      </c>
      <c r="AA92" s="13">
        <v>0</v>
      </c>
      <c r="AB92" s="13">
        <v>0</v>
      </c>
      <c r="AC92" s="13">
        <v>0</v>
      </c>
      <c r="AD92" s="13">
        <v>0</v>
      </c>
      <c r="AE92" s="13">
        <v>6.9160000000000004</v>
      </c>
      <c r="AF92" s="13">
        <v>0</v>
      </c>
      <c r="AG92" s="13">
        <v>0</v>
      </c>
      <c r="AH92" s="13">
        <v>0.435</v>
      </c>
      <c r="AI92" s="13">
        <v>0</v>
      </c>
      <c r="AJ92" s="13">
        <v>0</v>
      </c>
      <c r="AK92" s="13">
        <v>0</v>
      </c>
      <c r="AL92" s="13">
        <v>0</v>
      </c>
      <c r="AM92" s="13">
        <v>28.626999999999999</v>
      </c>
      <c r="AN92" s="13">
        <v>9.1790000000000003</v>
      </c>
      <c r="AO92" s="13">
        <v>0</v>
      </c>
      <c r="AP92" s="13">
        <v>21.966000000000001</v>
      </c>
      <c r="AQ92" s="10">
        <v>2.0289999999999999</v>
      </c>
      <c r="AR92" s="10">
        <v>0</v>
      </c>
      <c r="AS92" s="10">
        <v>6.984</v>
      </c>
      <c r="AT92" s="10">
        <v>0</v>
      </c>
      <c r="AU92" s="10">
        <v>8.0039999999999996</v>
      </c>
      <c r="AV92" s="10">
        <v>5.907</v>
      </c>
      <c r="AW92" s="10">
        <v>0</v>
      </c>
      <c r="AX92" s="10">
        <v>0</v>
      </c>
      <c r="AY92" s="10">
        <v>0</v>
      </c>
      <c r="AZ92" s="13">
        <v>0.63500000000000001</v>
      </c>
      <c r="BA92" s="13">
        <v>1.8460000000000001</v>
      </c>
      <c r="BB92" s="13">
        <v>0</v>
      </c>
      <c r="BC92" s="13">
        <v>0</v>
      </c>
      <c r="BD92" s="13">
        <v>0.67700000000000005</v>
      </c>
      <c r="BE92" s="13">
        <v>0</v>
      </c>
      <c r="BF92" s="13">
        <v>2.2429999999999999</v>
      </c>
      <c r="BG92" s="13">
        <v>3.621</v>
      </c>
      <c r="BH92" s="10">
        <v>1.6839999999999999</v>
      </c>
      <c r="BI92" s="10">
        <v>2.1549999999999998</v>
      </c>
      <c r="BJ92" s="10">
        <v>0</v>
      </c>
      <c r="BK92" s="13">
        <v>0</v>
      </c>
      <c r="BL92" s="13">
        <v>0</v>
      </c>
      <c r="BM92" s="13">
        <v>32.829000000000001</v>
      </c>
      <c r="BN92" s="13">
        <v>5.72</v>
      </c>
      <c r="BO92" s="13">
        <v>0</v>
      </c>
      <c r="BP92" s="13">
        <v>8.6370000000000005</v>
      </c>
      <c r="BQ92" s="10">
        <v>1.141</v>
      </c>
      <c r="BR92" s="10">
        <v>0</v>
      </c>
      <c r="BS92" s="10">
        <v>1.01</v>
      </c>
      <c r="BT92" s="10">
        <v>3.7450000000000001</v>
      </c>
      <c r="BU92" s="10">
        <v>0</v>
      </c>
      <c r="BV92" s="10">
        <v>0</v>
      </c>
      <c r="BW92" s="13">
        <v>0</v>
      </c>
      <c r="BX92" s="13">
        <v>0.22</v>
      </c>
      <c r="BY92" s="13">
        <v>0</v>
      </c>
      <c r="BZ92" s="13">
        <v>24.22</v>
      </c>
      <c r="CA92" s="13">
        <v>36.231999999999999</v>
      </c>
      <c r="CB92" s="13">
        <v>0</v>
      </c>
      <c r="CC92" s="13">
        <v>16.968</v>
      </c>
      <c r="CD92" s="13">
        <v>9.234</v>
      </c>
      <c r="CE92" s="13">
        <v>6.5369999999999999</v>
      </c>
      <c r="CF92" s="13">
        <v>27.617999999999999</v>
      </c>
      <c r="CG92" s="13">
        <v>0</v>
      </c>
      <c r="CH92" s="13">
        <v>0</v>
      </c>
      <c r="CI92" s="13">
        <v>0</v>
      </c>
      <c r="CJ92" s="13">
        <v>0</v>
      </c>
      <c r="CK92" s="13">
        <v>4.1020000000000003</v>
      </c>
      <c r="CL92" s="13">
        <v>4.1619999999999999</v>
      </c>
      <c r="CM92" s="13">
        <v>0.35199999999999998</v>
      </c>
      <c r="CN92" s="13">
        <v>0</v>
      </c>
      <c r="CO92" s="13">
        <v>0</v>
      </c>
      <c r="CP92" s="13">
        <v>0</v>
      </c>
      <c r="CQ92" s="13">
        <v>0</v>
      </c>
      <c r="CR92" s="10">
        <v>68.085999999999999</v>
      </c>
      <c r="CS92" s="10">
        <v>0</v>
      </c>
      <c r="CT92" s="10">
        <v>2.5760000000000001</v>
      </c>
      <c r="CU92" s="10">
        <v>1.3340000000000001</v>
      </c>
      <c r="CV92" s="10">
        <v>0</v>
      </c>
      <c r="CW92" s="10">
        <v>0</v>
      </c>
      <c r="CX92" s="10">
        <v>0</v>
      </c>
      <c r="CY92" s="10">
        <v>0</v>
      </c>
    </row>
    <row r="93" spans="1:103" x14ac:dyDescent="0.25">
      <c r="A93" s="16" t="s">
        <v>202</v>
      </c>
      <c r="B93" s="15">
        <v>90500000</v>
      </c>
      <c r="C93" s="15">
        <v>5640000</v>
      </c>
      <c r="D93" s="15">
        <v>2100000</v>
      </c>
      <c r="E93" s="15">
        <v>6320000</v>
      </c>
      <c r="F93" s="15">
        <v>1610000</v>
      </c>
      <c r="G93" s="15">
        <v>26400000</v>
      </c>
      <c r="H93" s="15">
        <v>2490000</v>
      </c>
      <c r="I93" s="15">
        <v>26400000</v>
      </c>
      <c r="J93" s="15">
        <v>66300000</v>
      </c>
      <c r="K93" s="15">
        <v>57000000</v>
      </c>
      <c r="L93" s="15">
        <v>7970000</v>
      </c>
      <c r="M93" s="15">
        <v>10700000</v>
      </c>
      <c r="N93" s="15">
        <v>530000</v>
      </c>
      <c r="O93" s="15">
        <v>2590000</v>
      </c>
      <c r="P93" s="15">
        <v>6700000</v>
      </c>
      <c r="Q93" s="15">
        <v>11900000</v>
      </c>
      <c r="R93" s="15">
        <v>2960000</v>
      </c>
      <c r="S93" s="15">
        <v>2210000</v>
      </c>
      <c r="T93" s="15">
        <v>3760000</v>
      </c>
      <c r="U93" s="15">
        <v>4540000</v>
      </c>
      <c r="V93" s="15">
        <v>2210000</v>
      </c>
      <c r="W93" s="15">
        <v>2950000</v>
      </c>
      <c r="X93" s="15" t="s">
        <v>203</v>
      </c>
      <c r="Y93" s="15">
        <v>5900000</v>
      </c>
      <c r="Z93" s="15">
        <v>20800000</v>
      </c>
      <c r="AA93" s="15">
        <v>6250000</v>
      </c>
      <c r="AB93" s="15">
        <v>1960000</v>
      </c>
      <c r="AC93" s="15">
        <v>26400000</v>
      </c>
      <c r="AD93" s="15">
        <v>57000000</v>
      </c>
      <c r="AE93" s="15">
        <v>6250000</v>
      </c>
      <c r="AF93" s="15">
        <v>26400000</v>
      </c>
      <c r="AG93" s="15">
        <v>2100000</v>
      </c>
      <c r="AH93" s="17">
        <v>7961317</v>
      </c>
      <c r="AI93" s="17">
        <v>7961317</v>
      </c>
      <c r="AJ93" s="17">
        <v>7961317</v>
      </c>
      <c r="AK93" s="17">
        <v>7961317</v>
      </c>
      <c r="AL93" s="17">
        <v>26281292</v>
      </c>
      <c r="AM93" s="17">
        <v>26281292</v>
      </c>
      <c r="AN93" s="17">
        <v>26281292</v>
      </c>
      <c r="AO93" s="17">
        <v>26281292</v>
      </c>
      <c r="AP93" s="17">
        <v>26281292</v>
      </c>
      <c r="AQ93" s="17">
        <v>87847945</v>
      </c>
      <c r="AR93" s="17">
        <v>87847945</v>
      </c>
      <c r="AS93" s="17">
        <v>23743009</v>
      </c>
      <c r="AT93" s="17">
        <v>23743009</v>
      </c>
      <c r="AU93" s="17">
        <v>10514845</v>
      </c>
      <c r="AV93" s="17">
        <v>10514845</v>
      </c>
      <c r="AW93" s="17">
        <v>3639729</v>
      </c>
      <c r="AX93" s="17">
        <v>9858701</v>
      </c>
      <c r="AY93" s="17">
        <v>33143242</v>
      </c>
      <c r="AZ93" s="17">
        <v>3789449</v>
      </c>
      <c r="BA93" s="17">
        <v>2654537</v>
      </c>
      <c r="BB93" s="17">
        <v>3207397</v>
      </c>
      <c r="BC93" s="17">
        <v>1704795</v>
      </c>
      <c r="BD93" s="17">
        <v>2090963</v>
      </c>
      <c r="BE93" s="17">
        <v>9250345</v>
      </c>
      <c r="BF93" s="17">
        <v>7783890</v>
      </c>
      <c r="BG93" s="17">
        <v>6434358</v>
      </c>
      <c r="BH93" s="17">
        <v>10602600</v>
      </c>
      <c r="BI93" s="17">
        <v>10602600</v>
      </c>
      <c r="BJ93" s="17">
        <v>10602600</v>
      </c>
      <c r="BK93" s="17">
        <v>48450900</v>
      </c>
      <c r="BL93" s="17">
        <v>48450900</v>
      </c>
      <c r="BM93" s="17">
        <v>48450900</v>
      </c>
      <c r="BN93" s="17">
        <v>48450900</v>
      </c>
      <c r="BO93" s="17">
        <v>48450900</v>
      </c>
      <c r="BP93" s="17">
        <v>48450900</v>
      </c>
      <c r="BQ93" s="17">
        <v>1870550</v>
      </c>
      <c r="BR93" s="15">
        <v>10700000</v>
      </c>
      <c r="BS93" s="15">
        <v>10700000</v>
      </c>
      <c r="BT93" s="15">
        <v>10700000</v>
      </c>
      <c r="BU93" s="15">
        <v>10700000</v>
      </c>
      <c r="BV93" s="15">
        <v>10700000</v>
      </c>
      <c r="BW93" s="17">
        <v>1001898</v>
      </c>
      <c r="BX93" s="17">
        <v>1001898</v>
      </c>
      <c r="BY93" s="17">
        <v>43266800</v>
      </c>
      <c r="BZ93" s="17">
        <v>43266800</v>
      </c>
      <c r="CA93" s="17">
        <v>43266800</v>
      </c>
      <c r="CB93" s="17">
        <v>43266800</v>
      </c>
      <c r="CC93" s="17">
        <v>43266800</v>
      </c>
      <c r="CD93" s="17">
        <v>43266800</v>
      </c>
      <c r="CE93" s="17">
        <v>43266800</v>
      </c>
      <c r="CF93" s="17">
        <v>43266800</v>
      </c>
      <c r="CG93" s="15">
        <v>7970000</v>
      </c>
      <c r="CH93" s="15">
        <v>7970000</v>
      </c>
      <c r="CI93" s="15">
        <v>7970000</v>
      </c>
      <c r="CJ93" s="17">
        <v>48450900</v>
      </c>
      <c r="CK93" s="17">
        <v>10602600</v>
      </c>
      <c r="CL93" s="17">
        <v>10602600</v>
      </c>
      <c r="CM93" s="15">
        <v>10700000</v>
      </c>
      <c r="CN93" s="17">
        <v>26281292</v>
      </c>
      <c r="CO93" s="15">
        <v>10700000</v>
      </c>
      <c r="CP93" s="15">
        <v>10700000</v>
      </c>
      <c r="CQ93" s="17">
        <v>48450900</v>
      </c>
      <c r="CR93" s="17">
        <v>43266800</v>
      </c>
      <c r="CS93" s="15">
        <v>7970000</v>
      </c>
      <c r="CT93" s="17">
        <v>10602600</v>
      </c>
      <c r="CU93" s="17">
        <v>4955000</v>
      </c>
      <c r="CV93" s="17">
        <v>33780320</v>
      </c>
      <c r="CW93" s="17">
        <v>33780320</v>
      </c>
      <c r="CX93" s="17">
        <v>4955000</v>
      </c>
      <c r="CY93" s="15">
        <v>2950000</v>
      </c>
    </row>
    <row r="94" spans="1:103" x14ac:dyDescent="0.25">
      <c r="A94" s="16" t="s">
        <v>201</v>
      </c>
      <c r="B94" s="15">
        <f>90500000*1000000</f>
        <v>90500000000000</v>
      </c>
      <c r="C94" s="15">
        <f>5640000*1000000</f>
        <v>5640000000000</v>
      </c>
      <c r="D94" s="15">
        <f>2100000*1000000</f>
        <v>2100000000000</v>
      </c>
      <c r="E94" s="15">
        <f>6320000*1000000</f>
        <v>6320000000000</v>
      </c>
      <c r="F94" s="15">
        <f>1610000*1000000</f>
        <v>1610000000000</v>
      </c>
      <c r="G94" s="15">
        <f>26400000*1000000</f>
        <v>26400000000000</v>
      </c>
      <c r="H94" s="15">
        <f>2490000*1000000</f>
        <v>2490000000000</v>
      </c>
      <c r="I94" s="15">
        <f>26400000*1000000</f>
        <v>26400000000000</v>
      </c>
      <c r="J94" s="15">
        <f>66300000*1000000</f>
        <v>66300000000000</v>
      </c>
      <c r="K94" s="15">
        <f>57000000*1000000</f>
        <v>57000000000000</v>
      </c>
      <c r="L94" s="15">
        <f>7970000*1000000</f>
        <v>7970000000000</v>
      </c>
      <c r="M94" s="15">
        <f>10700000*1000000</f>
        <v>10700000000000</v>
      </c>
      <c r="N94" s="15">
        <f>530000*1000000</f>
        <v>530000000000</v>
      </c>
      <c r="O94" s="15">
        <f>2590000*1000000</f>
        <v>2590000000000</v>
      </c>
      <c r="P94" s="15">
        <f>6700000*1000000</f>
        <v>6700000000000</v>
      </c>
      <c r="Q94" s="15">
        <f>11900000*1000000</f>
        <v>11900000000000</v>
      </c>
      <c r="R94" s="15">
        <f>2960000*1000000</f>
        <v>2960000000000</v>
      </c>
      <c r="S94" s="15">
        <f>2210000*1000000</f>
        <v>2210000000000</v>
      </c>
      <c r="T94" s="15">
        <f>3760000*1000000</f>
        <v>3760000000000</v>
      </c>
      <c r="U94" s="15">
        <f>4540000*1000000</f>
        <v>4540000000000</v>
      </c>
      <c r="V94" s="15">
        <f>2210000*1000000</f>
        <v>2210000000000</v>
      </c>
      <c r="W94" s="15">
        <f>2950000*1000000</f>
        <v>2950000000000</v>
      </c>
      <c r="X94" s="15">
        <f>1750000*1000000</f>
        <v>1750000000000</v>
      </c>
      <c r="Y94" s="15">
        <f>5900000*1000000</f>
        <v>5900000000000</v>
      </c>
      <c r="Z94" s="15">
        <f>20800000*1000000</f>
        <v>20800000000000</v>
      </c>
      <c r="AA94" s="15">
        <f>6250000*1000000</f>
        <v>6250000000000</v>
      </c>
      <c r="AB94" s="15">
        <f>1960000*1000000</f>
        <v>1960000000000</v>
      </c>
      <c r="AC94" s="15">
        <f>26400000*1000000</f>
        <v>26400000000000</v>
      </c>
      <c r="AD94" s="15">
        <f>57000000*1000000</f>
        <v>57000000000000</v>
      </c>
      <c r="AE94" s="15">
        <f>6250000*1000000</f>
        <v>6250000000000</v>
      </c>
      <c r="AF94" s="17">
        <f>AF93*1000000</f>
        <v>26400000000000</v>
      </c>
      <c r="AG94" s="17">
        <f t="shared" ref="AG94:AI94" si="0">AG93*1000000</f>
        <v>2100000000000</v>
      </c>
      <c r="AH94" s="17">
        <f t="shared" si="0"/>
        <v>7961317000000</v>
      </c>
      <c r="AI94" s="17">
        <f t="shared" si="0"/>
        <v>7961317000000</v>
      </c>
      <c r="AJ94" s="17">
        <f t="shared" ref="AJ94" si="1">AJ93*1000000</f>
        <v>7961317000000</v>
      </c>
      <c r="AK94" s="17">
        <f t="shared" ref="AK94:AL94" si="2">AK93*1000000</f>
        <v>7961317000000</v>
      </c>
      <c r="AL94" s="17">
        <f t="shared" si="2"/>
        <v>26281292000000</v>
      </c>
      <c r="AM94" s="17">
        <f t="shared" ref="AM94" si="3">AM93*1000000</f>
        <v>26281292000000</v>
      </c>
      <c r="AN94" s="17">
        <f t="shared" ref="AN94:AO94" si="4">AN93*1000000</f>
        <v>26281292000000</v>
      </c>
      <c r="AO94" s="17">
        <f t="shared" si="4"/>
        <v>26281292000000</v>
      </c>
      <c r="AP94" s="17">
        <f t="shared" ref="AP94" si="5">AP93*1000000</f>
        <v>26281292000000</v>
      </c>
      <c r="AQ94" s="17">
        <f t="shared" ref="AQ94:AR94" si="6">AQ93*1000000</f>
        <v>87847945000000</v>
      </c>
      <c r="AR94" s="17">
        <f t="shared" si="6"/>
        <v>87847945000000</v>
      </c>
      <c r="AS94" s="17">
        <f t="shared" ref="AS94" si="7">AS93*1000000</f>
        <v>23743009000000</v>
      </c>
      <c r="AT94" s="17">
        <f t="shared" ref="AT94:AU94" si="8">AT93*1000000</f>
        <v>23743009000000</v>
      </c>
      <c r="AU94" s="17">
        <f t="shared" si="8"/>
        <v>10514845000000</v>
      </c>
      <c r="AV94" s="17">
        <f t="shared" ref="AV94" si="9">AV93*1000000</f>
        <v>10514845000000</v>
      </c>
      <c r="AW94" s="17">
        <f t="shared" ref="AW94:AX94" si="10">AW93*1000000</f>
        <v>3639729000000</v>
      </c>
      <c r="AX94" s="17">
        <f t="shared" si="10"/>
        <v>9858701000000</v>
      </c>
      <c r="AY94" s="17">
        <f t="shared" ref="AY94" si="11">AY93*1000000</f>
        <v>33143242000000</v>
      </c>
      <c r="AZ94" s="17">
        <f t="shared" ref="AZ94:BA94" si="12">AZ93*1000000</f>
        <v>3789449000000</v>
      </c>
      <c r="BA94" s="17">
        <f t="shared" si="12"/>
        <v>2654537000000</v>
      </c>
      <c r="BB94" s="17">
        <f t="shared" ref="BB94" si="13">BB93*1000000</f>
        <v>3207397000000</v>
      </c>
      <c r="BC94" s="17">
        <f t="shared" ref="BC94:BD94" si="14">BC93*1000000</f>
        <v>1704795000000</v>
      </c>
      <c r="BD94" s="17">
        <f t="shared" si="14"/>
        <v>2090963000000</v>
      </c>
      <c r="BE94" s="17">
        <f t="shared" ref="BE94" si="15">BE93*1000000</f>
        <v>9250345000000</v>
      </c>
      <c r="BF94" s="17">
        <f t="shared" ref="BF94:BG94" si="16">BF93*1000000</f>
        <v>7783890000000</v>
      </c>
      <c r="BG94" s="17">
        <f t="shared" si="16"/>
        <v>6434358000000</v>
      </c>
      <c r="BH94" s="17">
        <f t="shared" ref="BH94" si="17">BH93*1000000</f>
        <v>10602600000000</v>
      </c>
      <c r="BI94" s="17">
        <f t="shared" ref="BI94:BJ94" si="18">BI93*1000000</f>
        <v>10602600000000</v>
      </c>
      <c r="BJ94" s="17">
        <f t="shared" si="18"/>
        <v>10602600000000</v>
      </c>
      <c r="BK94" s="17">
        <f t="shared" ref="BK94" si="19">BK93*1000000</f>
        <v>48450900000000</v>
      </c>
      <c r="BL94" s="17">
        <f t="shared" ref="BL94:BM94" si="20">BL93*1000000</f>
        <v>48450900000000</v>
      </c>
      <c r="BM94" s="17">
        <f t="shared" si="20"/>
        <v>48450900000000</v>
      </c>
      <c r="BN94" s="17">
        <f t="shared" ref="BN94" si="21">BN93*1000000</f>
        <v>48450900000000</v>
      </c>
      <c r="BO94" s="17">
        <f t="shared" ref="BO94:BP94" si="22">BO93*1000000</f>
        <v>48450900000000</v>
      </c>
      <c r="BP94" s="17">
        <f t="shared" si="22"/>
        <v>48450900000000</v>
      </c>
      <c r="BQ94" s="17">
        <f t="shared" ref="BQ94" si="23">BQ93*1000000</f>
        <v>1870550000000</v>
      </c>
      <c r="BR94" s="17">
        <f t="shared" ref="BR94:BS94" si="24">BR93*1000000</f>
        <v>10700000000000</v>
      </c>
      <c r="BS94" s="17">
        <f t="shared" si="24"/>
        <v>10700000000000</v>
      </c>
      <c r="BT94" s="17">
        <f t="shared" ref="BT94" si="25">BT93*1000000</f>
        <v>10700000000000</v>
      </c>
      <c r="BU94" s="17">
        <f t="shared" ref="BU94:BV94" si="26">BU93*1000000</f>
        <v>10700000000000</v>
      </c>
      <c r="BV94" s="17">
        <f t="shared" si="26"/>
        <v>10700000000000</v>
      </c>
      <c r="BW94" s="17">
        <f t="shared" ref="BW94" si="27">BW93*1000000</f>
        <v>1001898000000</v>
      </c>
      <c r="BX94" s="17">
        <f t="shared" ref="BX94:BY94" si="28">BX93*1000000</f>
        <v>1001898000000</v>
      </c>
      <c r="BY94" s="17">
        <f t="shared" si="28"/>
        <v>43266800000000</v>
      </c>
      <c r="BZ94" s="17">
        <f t="shared" ref="BZ94" si="29">BZ93*1000000</f>
        <v>43266800000000</v>
      </c>
      <c r="CA94" s="17">
        <f t="shared" ref="CA94:CB94" si="30">CA93*1000000</f>
        <v>43266800000000</v>
      </c>
      <c r="CB94" s="17">
        <f t="shared" si="30"/>
        <v>43266800000000</v>
      </c>
      <c r="CC94" s="17">
        <f t="shared" ref="CC94" si="31">CC93*1000000</f>
        <v>43266800000000</v>
      </c>
      <c r="CD94" s="17">
        <f t="shared" ref="CD94:CE94" si="32">CD93*1000000</f>
        <v>43266800000000</v>
      </c>
      <c r="CE94" s="17">
        <f t="shared" si="32"/>
        <v>43266800000000</v>
      </c>
      <c r="CF94" s="17">
        <f t="shared" ref="CF94" si="33">CF93*1000000</f>
        <v>43266800000000</v>
      </c>
      <c r="CG94" s="17">
        <f t="shared" ref="CG94:CH94" si="34">CG93*1000000</f>
        <v>7970000000000</v>
      </c>
      <c r="CH94" s="17">
        <f t="shared" si="34"/>
        <v>7970000000000</v>
      </c>
      <c r="CI94" s="17">
        <f t="shared" ref="CI94" si="35">CI93*1000000</f>
        <v>7970000000000</v>
      </c>
      <c r="CJ94" s="17">
        <f t="shared" ref="CJ94:CK94" si="36">CJ93*1000000</f>
        <v>48450900000000</v>
      </c>
      <c r="CK94" s="17">
        <f t="shared" si="36"/>
        <v>10602600000000</v>
      </c>
      <c r="CL94" s="17">
        <f t="shared" ref="CL94" si="37">CL93*1000000</f>
        <v>10602600000000</v>
      </c>
      <c r="CM94" s="17">
        <f t="shared" ref="CM94:CN94" si="38">CM93*1000000</f>
        <v>10700000000000</v>
      </c>
      <c r="CN94" s="17">
        <f t="shared" si="38"/>
        <v>26281292000000</v>
      </c>
      <c r="CO94" s="17">
        <f t="shared" ref="CO94" si="39">CO93*1000000</f>
        <v>10700000000000</v>
      </c>
      <c r="CP94" s="17">
        <f t="shared" ref="CP94:CQ94" si="40">CP93*1000000</f>
        <v>10700000000000</v>
      </c>
      <c r="CQ94" s="17">
        <f t="shared" si="40"/>
        <v>48450900000000</v>
      </c>
      <c r="CR94" s="17">
        <f t="shared" ref="CR94" si="41">CR93*1000000</f>
        <v>43266800000000</v>
      </c>
      <c r="CS94" s="17">
        <f t="shared" ref="CS94:CT94" si="42">CS93*1000000</f>
        <v>7970000000000</v>
      </c>
      <c r="CT94" s="17">
        <f t="shared" si="42"/>
        <v>10602600000000</v>
      </c>
      <c r="CU94" s="17">
        <f t="shared" ref="CU94" si="43">CU93*1000000</f>
        <v>4955000000000</v>
      </c>
      <c r="CV94" s="17">
        <f t="shared" ref="CV94:CW94" si="44">CV93*1000000</f>
        <v>33780320000000</v>
      </c>
      <c r="CW94" s="17">
        <f t="shared" si="44"/>
        <v>33780320000000</v>
      </c>
      <c r="CX94" s="17">
        <f t="shared" ref="CX94" si="45">CX93*1000000</f>
        <v>4955000000000</v>
      </c>
      <c r="CY94" s="17">
        <f t="shared" ref="CY94" si="46">CY93*1000000</f>
        <v>2950000000000</v>
      </c>
    </row>
    <row r="95" spans="1:103" x14ac:dyDescent="0.25">
      <c r="A95" s="5" t="s">
        <v>204</v>
      </c>
      <c r="B95" s="18">
        <f>SUM(B4:B92)</f>
        <v>2679.3279999999995</v>
      </c>
      <c r="C95" s="18">
        <f t="shared" ref="C95:BN95" si="47">SUM(C4:C92)</f>
        <v>188.90600000000006</v>
      </c>
      <c r="D95" s="18">
        <f t="shared" si="47"/>
        <v>61.127000000000002</v>
      </c>
      <c r="E95" s="18">
        <f t="shared" si="47"/>
        <v>292.12000000000006</v>
      </c>
      <c r="F95" s="18">
        <f t="shared" si="47"/>
        <v>19.836999999999993</v>
      </c>
      <c r="G95" s="18">
        <f t="shared" si="47"/>
        <v>525.71699999999987</v>
      </c>
      <c r="H95" s="18">
        <f t="shared" si="47"/>
        <v>603.86199999999985</v>
      </c>
      <c r="I95" s="18">
        <f t="shared" si="47"/>
        <v>644.5849999999997</v>
      </c>
      <c r="J95" s="18">
        <f t="shared" si="47"/>
        <v>1584.404</v>
      </c>
      <c r="K95" s="18">
        <f t="shared" si="47"/>
        <v>1570.3219999999997</v>
      </c>
      <c r="L95" s="18">
        <f t="shared" si="47"/>
        <v>172.53200000000001</v>
      </c>
      <c r="M95" s="18">
        <f t="shared" si="47"/>
        <v>172.53200000000001</v>
      </c>
      <c r="N95" s="18">
        <f t="shared" si="47"/>
        <v>27.081000000000003</v>
      </c>
      <c r="O95" s="18">
        <f t="shared" si="47"/>
        <v>13.696999999999997</v>
      </c>
      <c r="P95" s="18">
        <f t="shared" si="47"/>
        <v>140.42599999999999</v>
      </c>
      <c r="Q95" s="18">
        <f t="shared" si="47"/>
        <v>189.40200000000004</v>
      </c>
      <c r="R95" s="18">
        <f t="shared" si="47"/>
        <v>30.728999999999999</v>
      </c>
      <c r="S95" s="18">
        <f t="shared" si="47"/>
        <v>123.03499999999998</v>
      </c>
      <c r="T95" s="18">
        <f t="shared" si="47"/>
        <v>174.60400000000001</v>
      </c>
      <c r="U95" s="18">
        <f t="shared" si="47"/>
        <v>140.19600000000003</v>
      </c>
      <c r="V95" s="18">
        <f t="shared" si="47"/>
        <v>147.88800000000006</v>
      </c>
      <c r="W95" s="18">
        <f t="shared" si="47"/>
        <v>30.917999999999999</v>
      </c>
      <c r="X95" s="18">
        <f t="shared" si="47"/>
        <v>36.955000000000013</v>
      </c>
      <c r="Y95" s="18">
        <f t="shared" si="47"/>
        <v>192.69899999999996</v>
      </c>
      <c r="Z95" s="18">
        <f t="shared" si="47"/>
        <v>397.56200000000001</v>
      </c>
      <c r="AA95" s="18">
        <f t="shared" si="47"/>
        <v>515.96799999999985</v>
      </c>
      <c r="AB95" s="18">
        <f t="shared" si="47"/>
        <v>26.813000000000002</v>
      </c>
      <c r="AC95" s="18">
        <f t="shared" si="47"/>
        <v>363.43499999999989</v>
      </c>
      <c r="AD95" s="18">
        <f t="shared" si="47"/>
        <v>976.99799999999982</v>
      </c>
      <c r="AE95" s="18">
        <f t="shared" si="47"/>
        <v>360.16899999999998</v>
      </c>
      <c r="AF95" s="18">
        <f t="shared" si="47"/>
        <v>380.25900000000001</v>
      </c>
      <c r="AG95" s="18">
        <f t="shared" si="47"/>
        <v>59.082000000000008</v>
      </c>
      <c r="AH95" s="18">
        <f t="shared" si="47"/>
        <v>330.49900000000002</v>
      </c>
      <c r="AI95" s="18">
        <f t="shared" si="47"/>
        <v>249.05900000000008</v>
      </c>
      <c r="AJ95" s="18">
        <f t="shared" si="47"/>
        <v>86.204999999999984</v>
      </c>
      <c r="AK95" s="18">
        <f t="shared" si="47"/>
        <v>86.204999999999984</v>
      </c>
      <c r="AL95" s="18">
        <f t="shared" si="47"/>
        <v>471.06600000000003</v>
      </c>
      <c r="AM95" s="18">
        <f t="shared" si="47"/>
        <v>301.90899999999999</v>
      </c>
      <c r="AN95" s="18">
        <f t="shared" si="47"/>
        <v>478.56200000000001</v>
      </c>
      <c r="AO95" s="18">
        <f t="shared" si="47"/>
        <v>653.69100000000003</v>
      </c>
      <c r="AP95" s="18">
        <f t="shared" si="47"/>
        <v>824.51900000000046</v>
      </c>
      <c r="AQ95" s="18">
        <f t="shared" si="47"/>
        <v>907.70900000000006</v>
      </c>
      <c r="AR95" s="18">
        <f t="shared" si="47"/>
        <v>1306.0839999999998</v>
      </c>
      <c r="AS95" s="18">
        <f t="shared" si="47"/>
        <v>511.43099999999987</v>
      </c>
      <c r="AT95" s="18">
        <f t="shared" si="47"/>
        <v>338.87200000000001</v>
      </c>
      <c r="AU95" s="18">
        <f t="shared" si="47"/>
        <v>317.06899999999996</v>
      </c>
      <c r="AV95" s="18">
        <f t="shared" si="47"/>
        <v>320.20999999999998</v>
      </c>
      <c r="AW95" s="18">
        <f t="shared" si="47"/>
        <v>23.695000000000004</v>
      </c>
      <c r="AX95" s="18">
        <f t="shared" si="47"/>
        <v>104.77600000000001</v>
      </c>
      <c r="AY95" s="18">
        <f t="shared" si="47"/>
        <v>461.09599999999966</v>
      </c>
      <c r="AZ95" s="18">
        <f t="shared" si="47"/>
        <v>66.524000000000015</v>
      </c>
      <c r="BA95" s="18">
        <f t="shared" si="47"/>
        <v>47.726000000000013</v>
      </c>
      <c r="BB95" s="18">
        <f t="shared" si="47"/>
        <v>61.38900000000001</v>
      </c>
      <c r="BC95" s="18">
        <f t="shared" si="47"/>
        <v>19.150999999999996</v>
      </c>
      <c r="BD95" s="18">
        <f t="shared" si="47"/>
        <v>60.311000000000007</v>
      </c>
      <c r="BE95" s="18">
        <f t="shared" si="47"/>
        <v>130.23599999999999</v>
      </c>
      <c r="BF95" s="18">
        <f t="shared" si="47"/>
        <v>170.09700000000007</v>
      </c>
      <c r="BG95" s="18">
        <f t="shared" si="47"/>
        <v>148.35999999999996</v>
      </c>
      <c r="BH95" s="18">
        <f t="shared" si="47"/>
        <v>258.76600000000008</v>
      </c>
      <c r="BI95" s="18">
        <f t="shared" si="47"/>
        <v>140.96500000000003</v>
      </c>
      <c r="BJ95" s="18">
        <f t="shared" si="47"/>
        <v>187.49000000000004</v>
      </c>
      <c r="BK95" s="18">
        <f t="shared" si="47"/>
        <v>440.14400000000012</v>
      </c>
      <c r="BL95" s="18">
        <f t="shared" si="47"/>
        <v>661.22100000000012</v>
      </c>
      <c r="BM95" s="18">
        <f t="shared" si="47"/>
        <v>1197.4559999999999</v>
      </c>
      <c r="BN95" s="18">
        <f t="shared" si="47"/>
        <v>671.74400000000014</v>
      </c>
      <c r="BO95" s="18">
        <f t="shared" ref="BO95:CY95" si="48">SUM(BO4:BO92)</f>
        <v>790.7059999999999</v>
      </c>
      <c r="BP95" s="18">
        <f t="shared" si="48"/>
        <v>1068.9399999999998</v>
      </c>
      <c r="BQ95" s="18">
        <f t="shared" si="48"/>
        <v>59.733000000000011</v>
      </c>
      <c r="BR95" s="18">
        <f t="shared" si="48"/>
        <v>219.56799999999996</v>
      </c>
      <c r="BS95" s="18">
        <f t="shared" si="48"/>
        <v>223.42</v>
      </c>
      <c r="BT95" s="18">
        <f t="shared" si="48"/>
        <v>140.81600000000003</v>
      </c>
      <c r="BU95" s="18">
        <f t="shared" si="48"/>
        <v>151.52700000000002</v>
      </c>
      <c r="BV95" s="18">
        <f t="shared" si="48"/>
        <v>259.69100000000003</v>
      </c>
      <c r="BW95" s="18">
        <f t="shared" si="48"/>
        <v>36.352000000000004</v>
      </c>
      <c r="BX95" s="18">
        <f t="shared" si="48"/>
        <v>20.046999999999993</v>
      </c>
      <c r="BY95" s="18">
        <f t="shared" si="48"/>
        <v>516.41500000000008</v>
      </c>
      <c r="BZ95" s="18">
        <f t="shared" si="48"/>
        <v>1059.3889999999999</v>
      </c>
      <c r="CA95" s="18">
        <f t="shared" si="48"/>
        <v>816.37500000000011</v>
      </c>
      <c r="CB95" s="18">
        <f t="shared" si="48"/>
        <v>355.72100000000006</v>
      </c>
      <c r="CC95" s="18">
        <f t="shared" si="48"/>
        <v>1106.2520000000002</v>
      </c>
      <c r="CD95" s="18">
        <f t="shared" si="48"/>
        <v>1043.6469999999997</v>
      </c>
      <c r="CE95" s="18">
        <f t="shared" si="48"/>
        <v>958.45500000000027</v>
      </c>
      <c r="CF95" s="18">
        <f t="shared" si="48"/>
        <v>1325.9480000000001</v>
      </c>
      <c r="CG95" s="18">
        <f t="shared" si="48"/>
        <v>212.43</v>
      </c>
      <c r="CH95" s="18">
        <f t="shared" si="48"/>
        <v>174.55299999999994</v>
      </c>
      <c r="CI95" s="18">
        <f t="shared" si="48"/>
        <v>104.446</v>
      </c>
      <c r="CJ95" s="18">
        <f t="shared" si="48"/>
        <v>745.00200000000007</v>
      </c>
      <c r="CK95" s="18">
        <f t="shared" si="48"/>
        <v>230.24099999999999</v>
      </c>
      <c r="CL95" s="18">
        <f t="shared" si="48"/>
        <v>255.84099999999995</v>
      </c>
      <c r="CM95" s="18">
        <f t="shared" si="48"/>
        <v>174.07300000000009</v>
      </c>
      <c r="CN95" s="18">
        <f t="shared" si="48"/>
        <v>395.50800000000015</v>
      </c>
      <c r="CO95" s="18">
        <f t="shared" si="48"/>
        <v>178.23600000000002</v>
      </c>
      <c r="CP95" s="18">
        <f t="shared" si="48"/>
        <v>132.07699999999997</v>
      </c>
      <c r="CQ95" s="18">
        <f t="shared" si="48"/>
        <v>860.24800000000027</v>
      </c>
      <c r="CR95" s="18">
        <f t="shared" si="48"/>
        <v>450.05000000000007</v>
      </c>
      <c r="CS95" s="18">
        <f t="shared" si="48"/>
        <v>127.43799999999999</v>
      </c>
      <c r="CT95" s="18">
        <f t="shared" si="48"/>
        <v>119.53</v>
      </c>
      <c r="CU95" s="18">
        <f t="shared" si="48"/>
        <v>46.887000000000008</v>
      </c>
      <c r="CV95" s="18">
        <f t="shared" si="48"/>
        <v>336.67700000000002</v>
      </c>
      <c r="CW95" s="18">
        <f t="shared" si="48"/>
        <v>698.89299999999992</v>
      </c>
      <c r="CX95" s="18">
        <f t="shared" si="48"/>
        <v>75.406999999999996</v>
      </c>
      <c r="CY95" s="18">
        <f t="shared" si="48"/>
        <v>41.015000000000008</v>
      </c>
    </row>
    <row r="96" spans="1:103" x14ac:dyDescent="0.25">
      <c r="A96" s="19" t="s">
        <v>211</v>
      </c>
      <c r="B96" t="s">
        <v>208</v>
      </c>
      <c r="C96" t="s">
        <v>209</v>
      </c>
      <c r="D96" t="s">
        <v>210</v>
      </c>
      <c r="E96" t="s">
        <v>210</v>
      </c>
      <c r="F96" t="s">
        <v>210</v>
      </c>
      <c r="G96" t="s">
        <v>209</v>
      </c>
      <c r="H96" t="s">
        <v>209</v>
      </c>
      <c r="I96" t="s">
        <v>209</v>
      </c>
      <c r="J96" t="s">
        <v>208</v>
      </c>
      <c r="K96" t="s">
        <v>208</v>
      </c>
      <c r="L96" t="s">
        <v>210</v>
      </c>
      <c r="M96" t="s">
        <v>210</v>
      </c>
      <c r="N96" t="s">
        <v>210</v>
      </c>
      <c r="O96" t="s">
        <v>208</v>
      </c>
      <c r="P96" t="s">
        <v>210</v>
      </c>
      <c r="Q96" t="s">
        <v>210</v>
      </c>
      <c r="R96" t="s">
        <v>208</v>
      </c>
      <c r="S96" t="s">
        <v>209</v>
      </c>
      <c r="T96" t="s">
        <v>209</v>
      </c>
      <c r="U96" t="s">
        <v>209</v>
      </c>
      <c r="V96" t="s">
        <v>209</v>
      </c>
      <c r="W96" t="s">
        <v>210</v>
      </c>
      <c r="X96" t="s">
        <v>208</v>
      </c>
      <c r="Y96" t="s">
        <v>210</v>
      </c>
      <c r="Z96" t="s">
        <v>210</v>
      </c>
      <c r="AA96" t="s">
        <v>209</v>
      </c>
      <c r="AB96" t="s">
        <v>208</v>
      </c>
      <c r="AC96" t="s">
        <v>210</v>
      </c>
      <c r="AD96" t="s">
        <v>208</v>
      </c>
      <c r="AE96" t="s">
        <v>208</v>
      </c>
      <c r="AF96" t="s">
        <v>208</v>
      </c>
      <c r="AG96" t="s">
        <v>210</v>
      </c>
      <c r="AH96" t="s">
        <v>210</v>
      </c>
      <c r="AI96" t="s">
        <v>210</v>
      </c>
      <c r="AJ96" t="s">
        <v>210</v>
      </c>
      <c r="AK96" t="s">
        <v>209</v>
      </c>
      <c r="AL96" t="s">
        <v>208</v>
      </c>
      <c r="AM96" t="s">
        <v>210</v>
      </c>
      <c r="AN96" t="s">
        <v>210</v>
      </c>
      <c r="AO96" t="s">
        <v>210</v>
      </c>
      <c r="AP96" t="s">
        <v>210</v>
      </c>
      <c r="AQ96" t="s">
        <v>210</v>
      </c>
      <c r="AR96" t="s">
        <v>210</v>
      </c>
      <c r="AS96" t="s">
        <v>210</v>
      </c>
      <c r="AT96" t="s">
        <v>210</v>
      </c>
      <c r="AU96" t="s">
        <v>209</v>
      </c>
      <c r="AV96" t="s">
        <v>209</v>
      </c>
      <c r="AW96" t="s">
        <v>209</v>
      </c>
      <c r="AX96" t="s">
        <v>210</v>
      </c>
      <c r="AY96" t="s">
        <v>210</v>
      </c>
      <c r="AZ96" t="s">
        <v>210</v>
      </c>
      <c r="BA96" t="s">
        <v>210</v>
      </c>
      <c r="BB96" t="s">
        <v>210</v>
      </c>
      <c r="BC96" t="s">
        <v>210</v>
      </c>
      <c r="BD96" t="s">
        <v>210</v>
      </c>
      <c r="BE96" t="s">
        <v>209</v>
      </c>
      <c r="BF96" t="s">
        <v>210</v>
      </c>
      <c r="BG96" t="s">
        <v>209</v>
      </c>
      <c r="BH96" t="s">
        <v>209</v>
      </c>
      <c r="BI96" t="s">
        <v>209</v>
      </c>
      <c r="BJ96" t="s">
        <v>209</v>
      </c>
      <c r="BK96" t="s">
        <v>208</v>
      </c>
      <c r="BL96" t="s">
        <v>210</v>
      </c>
      <c r="BM96" t="s">
        <v>208</v>
      </c>
      <c r="BN96" t="s">
        <v>208</v>
      </c>
      <c r="BO96" t="s">
        <v>210</v>
      </c>
      <c r="BP96" t="s">
        <v>210</v>
      </c>
      <c r="BQ96" t="s">
        <v>210</v>
      </c>
      <c r="BR96" t="s">
        <v>210</v>
      </c>
      <c r="BS96" t="s">
        <v>210</v>
      </c>
      <c r="BT96" t="s">
        <v>210</v>
      </c>
      <c r="BU96" t="s">
        <v>210</v>
      </c>
      <c r="BV96" t="s">
        <v>210</v>
      </c>
      <c r="BW96" t="s">
        <v>209</v>
      </c>
      <c r="BX96" t="s">
        <v>209</v>
      </c>
      <c r="BY96" t="s">
        <v>210</v>
      </c>
      <c r="BZ96" t="s">
        <v>210</v>
      </c>
      <c r="CA96" t="s">
        <v>210</v>
      </c>
      <c r="CB96" t="s">
        <v>208</v>
      </c>
      <c r="CC96" t="s">
        <v>209</v>
      </c>
      <c r="CD96" t="s">
        <v>209</v>
      </c>
      <c r="CE96" t="s">
        <v>209</v>
      </c>
      <c r="CF96" t="s">
        <v>210</v>
      </c>
      <c r="CG96" t="s">
        <v>210</v>
      </c>
      <c r="CH96" t="s">
        <v>209</v>
      </c>
      <c r="CI96" t="s">
        <v>209</v>
      </c>
      <c r="CJ96" t="s">
        <v>210</v>
      </c>
      <c r="CK96" t="s">
        <v>208</v>
      </c>
      <c r="CL96" t="s">
        <v>209</v>
      </c>
      <c r="CM96" t="s">
        <v>210</v>
      </c>
      <c r="CN96" t="s">
        <v>210</v>
      </c>
      <c r="CO96" t="s">
        <v>209</v>
      </c>
      <c r="CP96" t="s">
        <v>210</v>
      </c>
      <c r="CQ96" t="s">
        <v>210</v>
      </c>
      <c r="CR96" t="s">
        <v>210</v>
      </c>
      <c r="CS96" t="s">
        <v>209</v>
      </c>
      <c r="CT96" t="s">
        <v>209</v>
      </c>
      <c r="CU96" t="s">
        <v>210</v>
      </c>
      <c r="CV96" t="s">
        <v>208</v>
      </c>
      <c r="CW96" t="s">
        <v>209</v>
      </c>
      <c r="CX96" t="s">
        <v>210</v>
      </c>
      <c r="CY96" t="s">
        <v>210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10 dias</vt:lpstr>
      <vt:lpstr>30 dias</vt:lpstr>
      <vt:lpstr>60 dias</vt:lpstr>
      <vt:lpstr>90 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USUARIO</cp:lastModifiedBy>
  <dcterms:created xsi:type="dcterms:W3CDTF">2020-04-09T14:15:55Z</dcterms:created>
  <dcterms:modified xsi:type="dcterms:W3CDTF">2020-04-14T18:36:45Z</dcterms:modified>
</cp:coreProperties>
</file>